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por Persona" sheetId="1" r:id="rId4"/>
    <sheet state="visible" name="Detalle Cuenta-Persona" sheetId="2" r:id="rId5"/>
    <sheet state="visible" name="Maestro Personas" sheetId="3" r:id="rId6"/>
  </sheets>
  <definedNames>
    <definedName hidden="1" localSheetId="0" name="_xlnm._FilterDatabase">'Resumen por Persona'!$A$4:$C$82</definedName>
    <definedName hidden="1" localSheetId="1" name="_xlnm._FilterDatabase">'Detalle Cuenta-Persona'!$A$3:$G$551</definedName>
  </definedNames>
  <calcPr/>
  <extLst>
    <ext uri="GoogleSheetsCustomDataVersion2">
      <go:sheetsCustomData xmlns:go="http://customooxmlschemas.google.com/" r:id="rId7" roundtripDataChecksum="PxA+VYULPP92TqV45/ds2LKrP+qdlefuIMSzMMIxfB4="/>
    </ext>
  </extLst>
</workbook>
</file>

<file path=xl/sharedStrings.xml><?xml version="1.0" encoding="utf-8"?>
<sst xmlns="http://schemas.openxmlformats.org/spreadsheetml/2006/main" count="3261" uniqueCount="1214">
  <si>
    <t>Libro: Reporte Empleados Datos Contacto Sin Renta</t>
  </si>
  <si>
    <t>Detalle Unipersonal por Cuenta</t>
  </si>
  <si>
    <t>Asignación de Cuentas por Persona</t>
  </si>
  <si>
    <t>Fecha Generación: 04/09/2026 a las 08:30AM</t>
  </si>
  <si>
    <t>Total de Personas: 78 | Consolidado desde 'Rentabilidad_x_Cuentas.csv'</t>
  </si>
  <si>
    <t>Fecha Desde: 01/09/2026</t>
  </si>
  <si>
    <t>Cuenta / Cliente</t>
  </si>
  <si>
    <t>Fecha Hasta: 04/09/2026</t>
  </si>
  <si>
    <t>Empleado - Número de Documento</t>
  </si>
  <si>
    <t>Empleado - Nombre Completo</t>
  </si>
  <si>
    <t>Persona</t>
  </si>
  <si>
    <t>Empleado - Nombre</t>
  </si>
  <si>
    <t>Hrs. X Semana</t>
  </si>
  <si>
    <t>Empleado - Apellido</t>
  </si>
  <si>
    <t>Empleado - Segundo Apellido</t>
  </si>
  <si>
    <t>Rut</t>
  </si>
  <si>
    <t>Trabajo - Cargo</t>
  </si>
  <si>
    <t>Apodo</t>
  </si>
  <si>
    <t>Trabajo - Nombre División</t>
  </si>
  <si>
    <t>Cargo</t>
  </si>
  <si>
    <t>Empleado - Fecha de Nacimiento</t>
  </si>
  <si>
    <t>Nivel de Cargo</t>
  </si>
  <si>
    <t>Empleado - Dirección</t>
  </si>
  <si>
    <t>Empleado - Email</t>
  </si>
  <si>
    <t>Cantidad de Cuentas</t>
  </si>
  <si>
    <t>ABIF</t>
  </si>
  <si>
    <t>Empleado - Sexo</t>
  </si>
  <si>
    <t>Empleado - Teléfono Particular</t>
  </si>
  <si>
    <t>Trabajo - Nombre Sub-área Asignada(o)</t>
  </si>
  <si>
    <t>Trabajo - Nombre Área</t>
  </si>
  <si>
    <t>Acuña Gutiérrez Sandra Gabriela</t>
  </si>
  <si>
    <t>Empresa - RUT Empresa</t>
  </si>
  <si>
    <t>Empresa - Nombre Empresa</t>
  </si>
  <si>
    <t>Empleado - Email Personal</t>
  </si>
  <si>
    <t>Empleado - Comuna</t>
  </si>
  <si>
    <t>Cuentas Asignadas</t>
  </si>
  <si>
    <t>Empleado - Estado</t>
  </si>
  <si>
    <t>Empleado - Título</t>
  </si>
  <si>
    <t>Empleado - Universidad</t>
  </si>
  <si>
    <t>Campos Personalizados de Empleado - Apodo</t>
  </si>
  <si>
    <t>Bitar Maluk Maria Cristina</t>
  </si>
  <si>
    <t>19.939.876-8</t>
  </si>
  <si>
    <t>Rivera Montiel Carolina Constanza</t>
  </si>
  <si>
    <t>Carolina Constanza</t>
  </si>
  <si>
    <t>Rivera</t>
  </si>
  <si>
    <t>Montiel</t>
  </si>
  <si>
    <t>Ejecutivo/a - AAPP</t>
  </si>
  <si>
    <t>Asuntos Públicos</t>
  </si>
  <si>
    <t>ACLARA, AES ANDES, AFPs, AGUAS ANDINAS, ALTO MAIPO SPA, APPLE, Aguas Horizonte, BANCO SANTANDER, BHP, Bupa, CHEC, CHINA RAILWAY (CRCCI), COCA COLA, COMUNIDAD MUJER, DREAMS, Equinox, GIA, Gestión Azerta, Metlife, Metrogas, NESTLE, ONU Chile (Proyecto por una sola vez), Pluxee, Propuestas, Rio Tinto, SURALIS, Securiport, Silver Sea, TRANSELEC, Todoplay, WOM</t>
  </si>
  <si>
    <t>California 2520, dpto 505</t>
  </si>
  <si>
    <t>crivera@azerta.cl</t>
  </si>
  <si>
    <t>F</t>
  </si>
  <si>
    <t>957719640</t>
  </si>
  <si>
    <t>76.981.820-0</t>
  </si>
  <si>
    <t>Azerta SpA</t>
  </si>
  <si>
    <t>carolinarvmn@gmail.com</t>
  </si>
  <si>
    <t>Providencia</t>
  </si>
  <si>
    <t>Activo</t>
  </si>
  <si>
    <t>Caro</t>
  </si>
  <si>
    <t>Flores Vargas Miguel Luis</t>
  </si>
  <si>
    <t>12.454.685-0</t>
  </si>
  <si>
    <t>Burr Guarachi Maria Victoria</t>
  </si>
  <si>
    <t>AFP Capital, BHP, BOW (Proyecto), CAP, CENCOSUD, COCA COLA, COLUN, DOMINGA, Exxacon, HANCOCK, IFPI, Inmobiliaria Manquehue, MASTERCARD, Mantos Blancos, Marimaca, Metrogas, Propuestas, RED UC, SQM / Novandino, Securiport, Silver Sea, TRANSELEC, Terra Master</t>
  </si>
  <si>
    <t>Maria Victoria</t>
  </si>
  <si>
    <t>Burr</t>
  </si>
  <si>
    <t>Guarachi</t>
  </si>
  <si>
    <t>Edwards Marin Felipe</t>
  </si>
  <si>
    <t>Socio Director</t>
  </si>
  <si>
    <t>Comunicaciones</t>
  </si>
  <si>
    <t>ABIF, ACER, ACLARA, AFP Capital, ALGECIRAS, Australis, BANCO SANTANDER, CAP, CENCOSUD, COLUN, DOMINGA, EMPRESAS PENTA, Grupo Patio, Marimaca, Metrogas, Orion X, Puerto Coronel, SCHWAGER, Techint, ULTRAMAR, ULTRANAV</t>
  </si>
  <si>
    <t>CAMINO LA AGUADA 10341</t>
  </si>
  <si>
    <t>vburr@azerta.cl</t>
  </si>
  <si>
    <t>56997429964</t>
  </si>
  <si>
    <t>Arancibia Silva Jose Miguel</t>
  </si>
  <si>
    <t>ABIF, ACLARA, Australis, Azerta, BHP, CAP, CENCOSUD, CHINA RAILWAY (CRCCI), CRUZADOS, Colmena, DOMINGA, Gestión Azerta, Mutual, NISUM, Propuestas, SCANIA</t>
  </si>
  <si>
    <t>burr.victoria@gmail.com</t>
  </si>
  <si>
    <t>Lo Barnechea</t>
  </si>
  <si>
    <t>Vic</t>
  </si>
  <si>
    <t>20.791.630-7</t>
  </si>
  <si>
    <t>BHP, Colmena, ECHEVERRÍA IZQUIERDO (PROYECTO), Equinox, GRUPO COSTANERA, Gestión Azerta, Inmobiliaria Manquehue, MEDICINA UC, Marimaca, Mutual, RED UC, Teck, Todoplay, ZONA FRANCA</t>
  </si>
  <si>
    <t>Ibacache Guzmán Cristofer Ignacio</t>
  </si>
  <si>
    <t>Cristofer Ignacio</t>
  </si>
  <si>
    <t>Ibacache</t>
  </si>
  <si>
    <t>Mackinnon Nilo Ian Eduardo</t>
  </si>
  <si>
    <t>Guzmán</t>
  </si>
  <si>
    <t>Ejecutivo de Soporte, Operaciones y TI</t>
  </si>
  <si>
    <t>Corporate Services</t>
  </si>
  <si>
    <t>APPLE, BANMEDICA, COCA COLA, Candidaturas Chile, Deficit 0, Electrolux, HANCOCK, MASTERCARD, Mutual, Propuestas, SQM Yodo, SURALIS, WOM</t>
  </si>
  <si>
    <t>Dublé Almeyda 1515, Ñuñoa, Chile</t>
  </si>
  <si>
    <t>cibacache@azerta.cl</t>
  </si>
  <si>
    <t>M</t>
  </si>
  <si>
    <t>56931866968</t>
  </si>
  <si>
    <t>Operaciones</t>
  </si>
  <si>
    <t>Abarca Castro Juan Andres</t>
  </si>
  <si>
    <t>77.667.011-1</t>
  </si>
  <si>
    <t>SOCIEDAD DE PROFESIONALES AZERTA LTDA</t>
  </si>
  <si>
    <t>cristofer.ibacacheguz@gmail.com</t>
  </si>
  <si>
    <t>Ñuñoa</t>
  </si>
  <si>
    <t>Cristofer</t>
  </si>
  <si>
    <t>19.078.159-3</t>
  </si>
  <si>
    <t>Arenas Salgado Margarita Andrea</t>
  </si>
  <si>
    <t>Margarita Andrea</t>
  </si>
  <si>
    <t>Arenas</t>
  </si>
  <si>
    <t>Salgado</t>
  </si>
  <si>
    <t>Directora de Estrategia y Desarrollo de Negocio</t>
  </si>
  <si>
    <t>Pirineos 2002, Providencia, Chile</t>
  </si>
  <si>
    <t>marenas@azerta.cl</t>
  </si>
  <si>
    <t>56981584044</t>
  </si>
  <si>
    <t>Administración</t>
  </si>
  <si>
    <t>APPLE, Aguas Horizonte, Azerta, BANMEDICA, BHP, Congreso, Marimaca, Mutual, SQM Yodo, Securiport, Silver Sea, Teck</t>
  </si>
  <si>
    <t>margarita.arenas.salgado@gmail.com</t>
  </si>
  <si>
    <t>Margarita</t>
  </si>
  <si>
    <t>17.950.016-7</t>
  </si>
  <si>
    <t>Courtin Díaz Danielle Fernanda</t>
  </si>
  <si>
    <t>Galleguillos Martinez Luis Gustavo</t>
  </si>
  <si>
    <t>Danielle Fernanda</t>
  </si>
  <si>
    <t>Courtin</t>
  </si>
  <si>
    <t>Díaz</t>
  </si>
  <si>
    <t>Director/a - AAPP</t>
  </si>
  <si>
    <t>AES ANDES, ALTO MAIPO SPA, Aguas Horizonte, Australis, CHEC, FREEPORT EL ABRA, Fray Leon Family Office (2 meses), Gestión Azerta, Propuestas, Puerto Coronel, Talleres de Vocería, ULTRANAV</t>
  </si>
  <si>
    <t>Noruega 1050, Valparaíso, Chile</t>
  </si>
  <si>
    <t>dcourtin@azerta.cl</t>
  </si>
  <si>
    <t>Padilla Castellano Reimar Coromoto</t>
  </si>
  <si>
    <t>56962753918</t>
  </si>
  <si>
    <t>AGUAS ANDINAS, Aguas Horizonte, BHP, CIAL, Colmena, Equinox, GRUPO COSTANERA, Grupo Patio, Inmobiliaria Manquehue, Metrogas, Mutual, Todoplay</t>
  </si>
  <si>
    <t>danicourtin@gmail.com</t>
  </si>
  <si>
    <t>Valparaíso</t>
  </si>
  <si>
    <t>Calderon Ventura Alfonso</t>
  </si>
  <si>
    <t>Dani</t>
  </si>
  <si>
    <t>19.293.473-7</t>
  </si>
  <si>
    <t>AFPs, BANCO SANTANDER, BOW (Proyecto), COCA COLA, Candidaturas Chile, Colmena, Electrolux, Equinox, HANCOCK, Permisología, RED UC</t>
  </si>
  <si>
    <t>Casas Irarrázaval Martina Leonor</t>
  </si>
  <si>
    <t>Martina Leonor</t>
  </si>
  <si>
    <t>Soto Díaz Javiera Paz</t>
  </si>
  <si>
    <t>Casas</t>
  </si>
  <si>
    <t>Irarrázaval</t>
  </si>
  <si>
    <t>Consultor/a - Comunicaciones</t>
  </si>
  <si>
    <t>AFPs, Bupa, CENCOSUD, COCA COLA, Colmena, Congreso, GIA, IFPI, Pluxee, RED UC, Todoplay</t>
  </si>
  <si>
    <t>Avenida Las Condes 10557, depto. 701 B</t>
  </si>
  <si>
    <t>mcasas@azerta.cl</t>
  </si>
  <si>
    <t>Delgado Tornero Felipe Antonio</t>
  </si>
  <si>
    <t>981582035</t>
  </si>
  <si>
    <t>BHP, CAP, DOMINGA, DREAMS, FREEPORT EL ABRA, Marimaca, NISUM, Puerto Coronel, Rio Tinto, ULTRANAV</t>
  </si>
  <si>
    <t>mcasasirarrazaval@gmail.com</t>
  </si>
  <si>
    <t>Garrido Contreras Lisette</t>
  </si>
  <si>
    <t>Las Condes</t>
  </si>
  <si>
    <t>AFPs, APRIMIN, BHP, CHV, CIAL, Gestión Azerta, Metlife, NESTLE, Propuestas, TNT SPORTS</t>
  </si>
  <si>
    <t>Martina</t>
  </si>
  <si>
    <t>Domínguez Kopecky Alicia María</t>
  </si>
  <si>
    <t>18.588.568-2</t>
  </si>
  <si>
    <t>Orpis Jouanne Ana Luisa</t>
  </si>
  <si>
    <t>Valenzuela Mella Pablo Andrés</t>
  </si>
  <si>
    <t>Ana Luisa</t>
  </si>
  <si>
    <t>Orpis</t>
  </si>
  <si>
    <t>Jouanne</t>
  </si>
  <si>
    <t>Consultor/a - AAPP</t>
  </si>
  <si>
    <t>AGUAS ANDINAS, APRIMIN, BANCO SANTANDER, BOW (Proyecto), COCA COLA, ESG, ONU Chile (Proyecto por una sola vez), Permisología, Puerto Coronel, TRANSELEC</t>
  </si>
  <si>
    <t>Los leones 707</t>
  </si>
  <si>
    <t>Aorpis@azerta.cl</t>
  </si>
  <si>
    <t>953977411</t>
  </si>
  <si>
    <t>Bacigalupo Arce Stefano Antonio</t>
  </si>
  <si>
    <t>AES ANDES, CENCOSUD, CHINA RAILWAY (CRCCI), ESG, Mantos Blancos, Metlife, NESTLE, SQM / Novandino, Terra Master</t>
  </si>
  <si>
    <t>anaorpis@gmail.com</t>
  </si>
  <si>
    <t>Inactivo</t>
  </si>
  <si>
    <t>Currie Ríos Robert Cowan</t>
  </si>
  <si>
    <t>Ana</t>
  </si>
  <si>
    <t>17.248.821-8</t>
  </si>
  <si>
    <t>BHP, CAP, DOMINGA, Inmobiliaria Manquehue, Mantos Blancos, Marimaca, Permisología, SQM Yodo, Terra Master</t>
  </si>
  <si>
    <t>Martínez Medel María Paz</t>
  </si>
  <si>
    <t>María Paz</t>
  </si>
  <si>
    <t>Martínez</t>
  </si>
  <si>
    <t>Moreno Soza Javiera Ignacia</t>
  </si>
  <si>
    <t>Medel</t>
  </si>
  <si>
    <t>Ejecutivo/a de Cuentas - Digital</t>
  </si>
  <si>
    <t>Digital</t>
  </si>
  <si>
    <t>ABIF, ACLARA, Azerta, BHP, CAP, COMUNIDAD MUJER, Colmena, DOMINGA, Mutual</t>
  </si>
  <si>
    <t>La Montaña Sur 4149, Lampa, Chile</t>
  </si>
  <si>
    <t>mmartinez@azerta.cl</t>
  </si>
  <si>
    <t>56973006305</t>
  </si>
  <si>
    <t>Monitoreo</t>
  </si>
  <si>
    <t>AFPs, BANCO SANTANDER, COCA COLA, Colmena, Electrolux, Equinox, HANCOCK, Permisología, RED UC</t>
  </si>
  <si>
    <t>martinez.mariapaz@gmail.com</t>
  </si>
  <si>
    <t>Lampa</t>
  </si>
  <si>
    <t>Bernal Arcia Martin Enrique</t>
  </si>
  <si>
    <t>Paz</t>
  </si>
  <si>
    <t>ACLARA, Azerta, BHP, CENCOSUD, DOMINGA, FREEPORT EL ABRA, Mutual, WOM</t>
  </si>
  <si>
    <t>16.282.327-2</t>
  </si>
  <si>
    <t>Jose Miguel</t>
  </si>
  <si>
    <t>Gallo Calderon Jaime Andres</t>
  </si>
  <si>
    <t>Arancibia</t>
  </si>
  <si>
    <t>Silva</t>
  </si>
  <si>
    <t>Socio Área Digital</t>
  </si>
  <si>
    <t>CENCOSUD, CIAL, GIA, MEDICINA UC, RED UC, TNT SPORTS, Todoplay, ZONA FRANCA</t>
  </si>
  <si>
    <t>Nicosia 7572</t>
  </si>
  <si>
    <t>jmarancibia@azerta.cl</t>
  </si>
  <si>
    <t>Garrido Corvalan Felipe Josué Andrés</t>
  </si>
  <si>
    <t>56992361278</t>
  </si>
  <si>
    <t>ABIF, ACLARA, Azerta, Colmena, DOMINGA, FREEPORT EL ABRA, Mutual, SCHWAGER</t>
  </si>
  <si>
    <t>jmarancibias@gmail.com</t>
  </si>
  <si>
    <t>Lipari Pinochet Daniela</t>
  </si>
  <si>
    <t>Jose, JM</t>
  </si>
  <si>
    <t>8.344.585-8</t>
  </si>
  <si>
    <t>AGUAS ANDINAS, Azerta, BIOSANO, DREAMS, Pluxee, STARKEN, Techo, WOM</t>
  </si>
  <si>
    <t>Bofill Carrascal Maria Begoña</t>
  </si>
  <si>
    <t>Maria Begoña</t>
  </si>
  <si>
    <t>Bofill</t>
  </si>
  <si>
    <t>Carrascal</t>
  </si>
  <si>
    <t>ABIF, CAP, CENCOSUD, CIAL, GIA, GRUPO COSTANERA, Grupo Patio</t>
  </si>
  <si>
    <t>Rosa O´Higgins 557</t>
  </si>
  <si>
    <t>bbofill@azerta.cl</t>
  </si>
  <si>
    <t>56993431191</t>
  </si>
  <si>
    <t>CAP, COLUN, GIA, Hortifrut, MEDICINA UC, RED UC, TRANSELEC</t>
  </si>
  <si>
    <t>bego.bofill@gmail.com</t>
  </si>
  <si>
    <t>Fischer Kuschel María Trinidad</t>
  </si>
  <si>
    <t>Bego</t>
  </si>
  <si>
    <t>AFP Capital, BANCO SANTANDER, CHEC, Grupo Patio, Marimaca, Mutual, Teck</t>
  </si>
  <si>
    <t>15.916.585-k</t>
  </si>
  <si>
    <t>Muñoz Orellana Liliana Andrea</t>
  </si>
  <si>
    <t>Liliana Andrea</t>
  </si>
  <si>
    <t>Gomez Vial Fernando Carlos</t>
  </si>
  <si>
    <t>Muñoz</t>
  </si>
  <si>
    <t>Orellana</t>
  </si>
  <si>
    <t>AFPs, Australis, Bupa, CRUZADOS, Fray Leon Family Office (2 meses), Metlife, Orion X</t>
  </si>
  <si>
    <t>Loma La Cruz sur 300, Casa 3</t>
  </si>
  <si>
    <t>Lmunoz@azerta.cl</t>
  </si>
  <si>
    <t>Iturrate Pirola Belén</t>
  </si>
  <si>
    <t>940417291</t>
  </si>
  <si>
    <t>ALTO MAIPO SPA, CENCOSUD, CHV, COMUNIDAD MUJER, DREAMS, MEDICINA UC, RED UC</t>
  </si>
  <si>
    <t>lilimunozo85@gmail.com</t>
  </si>
  <si>
    <t>Lizama Espinoza Claudio</t>
  </si>
  <si>
    <t>ACER, AGUAS ANDINAS, CENCOSUD, CHEC, CRUZADOS, DREAMS, SCHWAGER</t>
  </si>
  <si>
    <t>Rafa</t>
  </si>
  <si>
    <t>9.126.648-2</t>
  </si>
  <si>
    <t>Pinto Salazar-Roijers Jenny</t>
  </si>
  <si>
    <t>Llanos Guijuelos Bastian Nicolas</t>
  </si>
  <si>
    <t>Jenny</t>
  </si>
  <si>
    <t>Pinto</t>
  </si>
  <si>
    <t>Salazar-Roijers</t>
  </si>
  <si>
    <t>ABIF, Aguas Horizonte, Fray Leon Family Office (2 meses), Inmobiliaria Manquehue, STARKEN, TNT SPORTS, ZONA FRANCA</t>
  </si>
  <si>
    <t>Secretaria de Gerencia</t>
  </si>
  <si>
    <t>AVDA. BELLAVISTA 165 218</t>
  </si>
  <si>
    <t>Pantoja Herrera Francisca Loreto</t>
  </si>
  <si>
    <t>jpinto@azerta.cl</t>
  </si>
  <si>
    <t>ACLARA, CIAL, ESG, MEDICINA UC, NESTLE, RED UC, ZONA FRANCA</t>
  </si>
  <si>
    <t>56998205700</t>
  </si>
  <si>
    <t>Ramdohr Browne Francisco Gastón</t>
  </si>
  <si>
    <t>jennypintosr1@gmail.com</t>
  </si>
  <si>
    <t>Recoleta</t>
  </si>
  <si>
    <t>AES ANDES, CENCOSUD, GRUPO COSTANERA, Grupo Patio, Metrogas, Puerto Coronel, SCHWAGER</t>
  </si>
  <si>
    <t>7.465.792-3</t>
  </si>
  <si>
    <t>Gálvez Araya Mario Joaquín Gonzalo</t>
  </si>
  <si>
    <t>Mario Joaquín Gonzalo</t>
  </si>
  <si>
    <t>González Lira Javiera Ignacia</t>
  </si>
  <si>
    <t>AES ANDES, MASTERCARD, Marimaca, NESTLE, Permisología, SQM Yodo, Todoplay</t>
  </si>
  <si>
    <t>Gálvez</t>
  </si>
  <si>
    <t>Araya</t>
  </si>
  <si>
    <t>Robeson Carvallo Josefina</t>
  </si>
  <si>
    <t>La Niña 3020, Las Condes, Chile</t>
  </si>
  <si>
    <t>mgalvez@azerta.cl</t>
  </si>
  <si>
    <t>AGUAS ANDINAS, CIAL, DOMINGA, Equinox, Mutual, NESTLE, Todoplay</t>
  </si>
  <si>
    <t>992306635</t>
  </si>
  <si>
    <t>Saez Rojas Alejandro Enrique</t>
  </si>
  <si>
    <t>ABIF, AES ANDES, Azerta, BANCO SANTANDER, Hortifrut, Mutual, Orion X</t>
  </si>
  <si>
    <t>Sallorenzo Ortiz Claudio</t>
  </si>
  <si>
    <t>AES ANDES, ALTO MAIPO SPA, CENCOSUD, Congreso, Electrolux, GRUPO COSTANERA, WOM</t>
  </si>
  <si>
    <t>mariogalveza@icloud.com</t>
  </si>
  <si>
    <t>Alfaro Cornejo Sara Magdalena</t>
  </si>
  <si>
    <t>12.678.387-6</t>
  </si>
  <si>
    <t>Pezo Symmer Claudia Edith</t>
  </si>
  <si>
    <t>Claudia Edith</t>
  </si>
  <si>
    <t>Pezo</t>
  </si>
  <si>
    <t>Symmer</t>
  </si>
  <si>
    <t>Consultor/a - Prensa</t>
  </si>
  <si>
    <t>Prensa</t>
  </si>
  <si>
    <t>Padre Mariano 87 Depto. 1206</t>
  </si>
  <si>
    <t>cpezo@azerta.cl</t>
  </si>
  <si>
    <t>994993239</t>
  </si>
  <si>
    <t>BHP, COMUNIDAD MUJER, ESG, Grupo Patio, NESTLE, ONU Chile (Proyecto por una sola vez)</t>
  </si>
  <si>
    <t>claupezito@gmail.com</t>
  </si>
  <si>
    <t>Bravo Pérez Pablo Enrique</t>
  </si>
  <si>
    <t>Clau</t>
  </si>
  <si>
    <t>APRIMIN, BHP, CHINA RAILWAY (CRCCI), Marimaca, TRANSELEC, Teck</t>
  </si>
  <si>
    <t>13.432.759-6</t>
  </si>
  <si>
    <t>Alarcón Orellana Paulina Violeta</t>
  </si>
  <si>
    <t>Paulina Violeta</t>
  </si>
  <si>
    <t>Alarcón</t>
  </si>
  <si>
    <t>ABIF, ACLARA, Azerta, BHP, CIAL, Colmena</t>
  </si>
  <si>
    <t>Asistente de Servicios Generales</t>
  </si>
  <si>
    <t>Donoso Wenzel Cristóbal Andrés</t>
  </si>
  <si>
    <t>Herrera Manríquez María Fernanda</t>
  </si>
  <si>
    <t>Monseñor Eyzaguirre 300, Departamento 24</t>
  </si>
  <si>
    <t>palarcon@azerta.cl</t>
  </si>
  <si>
    <t>AFPs, AGUAS ANDINAS, Inmobiliaria Manquehue, TNT SPORTS, Talleres de Vocería, WOM</t>
  </si>
  <si>
    <t>56999091623</t>
  </si>
  <si>
    <t>Dorfman Liberman Natalio Andrés</t>
  </si>
  <si>
    <t>paulina.alarcon@gmail.com</t>
  </si>
  <si>
    <t>AFPs, CIAL, COLUN, Metrogas, NESTLE, SQM / Novandino</t>
  </si>
  <si>
    <t>Pauli</t>
  </si>
  <si>
    <t>18.845.158-6</t>
  </si>
  <si>
    <t>Guzman Puebla Ana Veronica</t>
  </si>
  <si>
    <t>CENCOSUD, ESG, GIA, MEDICINA UC, Metrogas, RED UC</t>
  </si>
  <si>
    <t>Sara Magdalena</t>
  </si>
  <si>
    <t>Alfaro</t>
  </si>
  <si>
    <t>Cornejo</t>
  </si>
  <si>
    <t>Marrazzo Guinis Stefano Dimitri</t>
  </si>
  <si>
    <t>Consultor/a Senior - Comunicaciones</t>
  </si>
  <si>
    <t>ACLARA, AFP Capital, AGUAS ANDINAS, Azerta, Colmena, Propuestas</t>
  </si>
  <si>
    <t>Flor de Azucena 89, depto 1202, Las Condes, Chile</t>
  </si>
  <si>
    <t>salfaro@azerta.cl</t>
  </si>
  <si>
    <t>Nicolini Saavedra Marco</t>
  </si>
  <si>
    <t>56962082302</t>
  </si>
  <si>
    <t>FREEPORT EL ABRA, Mutual, NISUM, Propuestas, SCANIA, SCHWAGER</t>
  </si>
  <si>
    <t>saramgalfaro@gmail.com</t>
  </si>
  <si>
    <t>Serrano Matas Antonio Federico</t>
  </si>
  <si>
    <t>Sari</t>
  </si>
  <si>
    <t>ABIF, Aguas Horizonte, Azerta, BHP, Colmena, NISUM</t>
  </si>
  <si>
    <t>16.629.810-5</t>
  </si>
  <si>
    <t>Duk Oteíza Christopher Walter</t>
  </si>
  <si>
    <t>Zapata Bendel César Edgardo</t>
  </si>
  <si>
    <t>Christopher Walter</t>
  </si>
  <si>
    <t>Duk</t>
  </si>
  <si>
    <t>ACLARA, ALTO MAIPO SPA, CAP, CHINA RAILWAY (CRCCI), TRANSELEC, Talleres de Vocería</t>
  </si>
  <si>
    <t>Oteíza</t>
  </si>
  <si>
    <t>Jefe de Servicios Generales y TI</t>
  </si>
  <si>
    <t>Duble Almeyda 1515, depto 604</t>
  </si>
  <si>
    <t>cduk@azerta.cl</t>
  </si>
  <si>
    <t>AFPs, CENCOSUD, Colmena, NESTLE, WOM</t>
  </si>
  <si>
    <t>982065602</t>
  </si>
  <si>
    <t>Cembrano Schrader Ignacio Stelio</t>
  </si>
  <si>
    <t>chris.dukot@gmail.com</t>
  </si>
  <si>
    <t>AFPs, BHP, Colmena, Pluxee, Rio Tinto</t>
  </si>
  <si>
    <t>9.992.025-4</t>
  </si>
  <si>
    <t>Alvarez Henriquez Lidia Rosa</t>
  </si>
  <si>
    <t>AFP Capital, CAP, CHEC, Grupo Patio, TRANSELEC</t>
  </si>
  <si>
    <t>Lidia Rosa</t>
  </si>
  <si>
    <t>Alvarez</t>
  </si>
  <si>
    <t>Henriquez</t>
  </si>
  <si>
    <t>Auxiliar de Aseo</t>
  </si>
  <si>
    <t>Feres Klenner Camilo</t>
  </si>
  <si>
    <t>AFP Cuprum, AFPs, GIA, GRUPO COSTANERA, Mutual</t>
  </si>
  <si>
    <t>Claudio Arrau 7861, Depto. 33, torre 8</t>
  </si>
  <si>
    <t>lalvarez@azerta.cl</t>
  </si>
  <si>
    <t>56942454643</t>
  </si>
  <si>
    <t>Peña Gutiérrez María José</t>
  </si>
  <si>
    <t>ABIF, CIAL, DOMINGA, Inmobiliaria Manquehue, NESTLE</t>
  </si>
  <si>
    <t>lidiaalvarezhenriquez@gmail.com</t>
  </si>
  <si>
    <t>Pudahuel</t>
  </si>
  <si>
    <t>Ramírez Garcés Valentina Arlette</t>
  </si>
  <si>
    <t>Lidia</t>
  </si>
  <si>
    <t>ACLARA, BHP, CHV, Talleres de Vocería, WOM</t>
  </si>
  <si>
    <t>13.253.184-6</t>
  </si>
  <si>
    <t>Camilo</t>
  </si>
  <si>
    <t>Scheuch Navarrete Macarena Verónica</t>
  </si>
  <si>
    <t>Feres</t>
  </si>
  <si>
    <t>Klenner</t>
  </si>
  <si>
    <t>CAP, CHV, GRUPO COSTANERA, NESTLE, Rio Tinto</t>
  </si>
  <si>
    <t>Director de Área de Estudios Sociales y Políticos</t>
  </si>
  <si>
    <t>LUIS PEREIRA 810</t>
  </si>
  <si>
    <t>Sepúlveda Aravena Juvenal Andrés</t>
  </si>
  <si>
    <t>cferes@azerta.cl</t>
  </si>
  <si>
    <t>56971388450</t>
  </si>
  <si>
    <t>AGUAS ANDINAS, FREEPORT EL ABRA, Mutual, SCHWAGER, WOM</t>
  </si>
  <si>
    <t>Sierralta Fuentealba Benjamín Eugenio</t>
  </si>
  <si>
    <t>cferes@gmail.com</t>
  </si>
  <si>
    <t>ABIF, AFP Capital, BANCO SANTANDER, CIAL, Mutual</t>
  </si>
  <si>
    <t>11.442.567-2</t>
  </si>
  <si>
    <t>Bustos Valenzuela Abraham Segundo</t>
  </si>
  <si>
    <t>Terrazas Cortés Paula Sofía</t>
  </si>
  <si>
    <t>Abraham Segundo</t>
  </si>
  <si>
    <t>Bustos</t>
  </si>
  <si>
    <t>AGUAS ANDINAS, Aguas Horizonte, Mutual, SCANIA, WOM</t>
  </si>
  <si>
    <t>Valenzuela</t>
  </si>
  <si>
    <t>Gerente de Finanzas</t>
  </si>
  <si>
    <t>QUEBRADA DE MACUL 8600 CASA 11</t>
  </si>
  <si>
    <t>Vallejos Poblete Carlos Jose</t>
  </si>
  <si>
    <t>abustos@azerta.cl</t>
  </si>
  <si>
    <t>56956985578</t>
  </si>
  <si>
    <t>AGUAS ANDINAS, Aguas Horizonte, Pluxee, Rio Tinto, WOM</t>
  </si>
  <si>
    <t>Finanzas</t>
  </si>
  <si>
    <t>abrahambvalenzuela@yahoo.com</t>
  </si>
  <si>
    <t>Peñalolén</t>
  </si>
  <si>
    <t>Abraham</t>
  </si>
  <si>
    <t>20.936.378-k</t>
  </si>
  <si>
    <t>Total Personas / Promedio Cuentas</t>
  </si>
  <si>
    <t>Chausu Valdés Jesús Alberto</t>
  </si>
  <si>
    <t>Jesús Alberto</t>
  </si>
  <si>
    <t>Chausu</t>
  </si>
  <si>
    <t>Valdés</t>
  </si>
  <si>
    <t>Ejecutivo en IA - Digital</t>
  </si>
  <si>
    <t>Las Araucarias, El Bosque, Chile</t>
  </si>
  <si>
    <t>jchausu@azerta.cl</t>
  </si>
  <si>
    <t>56976806250</t>
  </si>
  <si>
    <t>IA</t>
  </si>
  <si>
    <t>jesuschausu@gmail.com</t>
  </si>
  <si>
    <t>El Bosque</t>
  </si>
  <si>
    <t>Alcaino Cueto Nieves Isabel</t>
  </si>
  <si>
    <t>13.882.744-5</t>
  </si>
  <si>
    <t>Villablanca Fernández Gustavo Adolfo</t>
  </si>
  <si>
    <t>AFP Cuprum, CHINA RAILWAY (CRCCI), GIA, TRANSELEC</t>
  </si>
  <si>
    <t>Gustavo Adolfo</t>
  </si>
  <si>
    <t>Villablanca</t>
  </si>
  <si>
    <t>Fernández</t>
  </si>
  <si>
    <t>Gerente de Personas y Operaciones</t>
  </si>
  <si>
    <t>Alvarez Rivera Romina Pamela</t>
  </si>
  <si>
    <t>Las Vegas 994</t>
  </si>
  <si>
    <t>CENCOSUD, CIAL, NESTLE, WOM</t>
  </si>
  <si>
    <t>gvillablanca@azerta.cl</t>
  </si>
  <si>
    <t>990885107</t>
  </si>
  <si>
    <t>Personas</t>
  </si>
  <si>
    <t>Cobo Paris Irene María</t>
  </si>
  <si>
    <t>Gustavo.Villablanca@gmail.com</t>
  </si>
  <si>
    <t>Azerta, ESG, Grupo Patio, Mutual</t>
  </si>
  <si>
    <t>La Florida</t>
  </si>
  <si>
    <t>Gustavo</t>
  </si>
  <si>
    <t>12.019.058-k</t>
  </si>
  <si>
    <t>ABIF, AFP Capital, CAP, COMUNIDAD MUJER</t>
  </si>
  <si>
    <t>Mackenzie Kiessler Paula</t>
  </si>
  <si>
    <t>AFP Capital, Colmena, Grupo Patio, Metrogas</t>
  </si>
  <si>
    <t>Luis Gustavo</t>
  </si>
  <si>
    <t>Martínez Cárdenas Natalia Paulina</t>
  </si>
  <si>
    <t>Galleguillos</t>
  </si>
  <si>
    <t>Martinez</t>
  </si>
  <si>
    <t>CAP, Mutual, SCANIA, SCHWAGER</t>
  </si>
  <si>
    <t>José Rabat 10670, Condominio Los Maderos, Calle los maderos 33</t>
  </si>
  <si>
    <t>lgalleguillos@azerta.cl</t>
  </si>
  <si>
    <t>56966576762</t>
  </si>
  <si>
    <t>lgallem@gmail.com</t>
  </si>
  <si>
    <t>Colina</t>
  </si>
  <si>
    <t>19.960.344-2</t>
  </si>
  <si>
    <t>BHP, CENCOSUD, DOMINGA, Mutual</t>
  </si>
  <si>
    <t>Benjamín Eugenio</t>
  </si>
  <si>
    <t>Sierralta</t>
  </si>
  <si>
    <t>Fuentealba</t>
  </si>
  <si>
    <t>CENCOSUD, Equinox, SURALIS, WOM</t>
  </si>
  <si>
    <t>Doctor Agustín Andrade 4200</t>
  </si>
  <si>
    <t>bsierralta@azerta.cl</t>
  </si>
  <si>
    <t>976767033</t>
  </si>
  <si>
    <t>Palomino Marchant Elisa Eliana</t>
  </si>
  <si>
    <t>AES ANDES, CENCOSUD, NESTLE, STARKEN</t>
  </si>
  <si>
    <t>Benjamin.sierralta@mail.udp.cl</t>
  </si>
  <si>
    <t>Sherling Carvallo Yael Rossi</t>
  </si>
  <si>
    <t>Benjamín</t>
  </si>
  <si>
    <t>14.533.402-0</t>
  </si>
  <si>
    <t>BANCO SANTANDER, DREAMS, Mutual, NESTLE</t>
  </si>
  <si>
    <t>Pablo Andrés</t>
  </si>
  <si>
    <t>Valladares Aravena Javiera Fernanda</t>
  </si>
  <si>
    <t>Mella</t>
  </si>
  <si>
    <t>Consultor/a Senior - AAPP</t>
  </si>
  <si>
    <t>Colmena, DOMINGA, Mutual, SCANIA</t>
  </si>
  <si>
    <t>Pasaje Alberto 3538</t>
  </si>
  <si>
    <t>pvalenzuela@azerta.cl</t>
  </si>
  <si>
    <t>986589891</t>
  </si>
  <si>
    <t>Varas Salamanca Mauricio</t>
  </si>
  <si>
    <t>AES ANDES, ALTO MAIPO SPA, Mutual, TRANSELEC</t>
  </si>
  <si>
    <t>valenzuelamellapablo@gmail.com</t>
  </si>
  <si>
    <t>Beckdorf Cortés Camila Pilar</t>
  </si>
  <si>
    <t>Pablo</t>
  </si>
  <si>
    <t>17.701.415-k</t>
  </si>
  <si>
    <t>AGUAS ANDINAS, CENCOSUD, WOM</t>
  </si>
  <si>
    <t>Concha Valenzuela Loreto</t>
  </si>
  <si>
    <t>Loreto</t>
  </si>
  <si>
    <t>Concha</t>
  </si>
  <si>
    <t>Bugueño Calvo Monserrat María Eliana</t>
  </si>
  <si>
    <t>Consultores Senior - Digital</t>
  </si>
  <si>
    <t>Colmena, Mutual, SCANIA</t>
  </si>
  <si>
    <t>Ricardo Wagner 2161, depto 1004, La Reina, Chile</t>
  </si>
  <si>
    <t>lconcha@azerta.cl</t>
  </si>
  <si>
    <t>56983371510</t>
  </si>
  <si>
    <t>Contenidos</t>
  </si>
  <si>
    <t>AFP Capital, CAP, WOM</t>
  </si>
  <si>
    <t>lrtconcha@gmail.com</t>
  </si>
  <si>
    <t>La Reina</t>
  </si>
  <si>
    <t>Lore</t>
  </si>
  <si>
    <t>ABIF, Colmena, FREEPORT EL ABRA</t>
  </si>
  <si>
    <t>20.100.027-0</t>
  </si>
  <si>
    <t>Bustos Cárdenas Benjamín Ignacio Abraham</t>
  </si>
  <si>
    <t>Retamal Vergara María Isabel</t>
  </si>
  <si>
    <t>Benjamín Ignacio Abraham</t>
  </si>
  <si>
    <t>BANCO SANTANDER, ECHEVERRÍA IZQUIERDO (PROYECTO), Grupo Patio</t>
  </si>
  <si>
    <t>Cárdenas</t>
  </si>
  <si>
    <t>Asistente de Finanzas y Operaciones</t>
  </si>
  <si>
    <t>Verdejo Valenzuela Sandra Carolina</t>
  </si>
  <si>
    <t>Quebrada de Umallani 1000, Casa N</t>
  </si>
  <si>
    <t>bbustos@azerta.cl</t>
  </si>
  <si>
    <t>AFPs, GRUPO COSTANERA, ZONA FRANCA</t>
  </si>
  <si>
    <t>999744131</t>
  </si>
  <si>
    <t>Campos Guzman Katiusca Del Pilar</t>
  </si>
  <si>
    <t>ALGECIRAS, COLUN</t>
  </si>
  <si>
    <t>benjaminbustoscardenas@gmail.com</t>
  </si>
  <si>
    <t>Benja</t>
  </si>
  <si>
    <t>20.165.239-1</t>
  </si>
  <si>
    <t>Gestión Azerta</t>
  </si>
  <si>
    <t>María Fernanda</t>
  </si>
  <si>
    <t>Herrera</t>
  </si>
  <si>
    <t>Escorza Bravo Rodrigo</t>
  </si>
  <si>
    <t>Manríquez</t>
  </si>
  <si>
    <t>Consultores - Digital</t>
  </si>
  <si>
    <t>CENCOSUD</t>
  </si>
  <si>
    <t>La Gloria 120, depto 307, Las Condes, Chile</t>
  </si>
  <si>
    <t>fherrera@azerta.cl</t>
  </si>
  <si>
    <t>99978113</t>
  </si>
  <si>
    <t>Diseño</t>
  </si>
  <si>
    <t>Walmsley Hardy Alexander James</t>
  </si>
  <si>
    <t>fernandaherreramanriquez@gmail.com</t>
  </si>
  <si>
    <t>Fernanda</t>
  </si>
  <si>
    <t>20.833.546-4</t>
  </si>
  <si>
    <t>Paula Sofía</t>
  </si>
  <si>
    <t>Terrazas</t>
  </si>
  <si>
    <t>Cortés</t>
  </si>
  <si>
    <t>Camino del Pregonero 2799</t>
  </si>
  <si>
    <t>pterrazas@azerta.cl</t>
  </si>
  <si>
    <t>954064264</t>
  </si>
  <si>
    <t>paulaterrazasc22@gmail.com</t>
  </si>
  <si>
    <t>Paula</t>
  </si>
  <si>
    <t>19.242.632-4</t>
  </si>
  <si>
    <t>Ignacio Stelio</t>
  </si>
  <si>
    <t>Cembrano</t>
  </si>
  <si>
    <t>Schrader</t>
  </si>
  <si>
    <t>Ejecutivo/a - Comunicaciones</t>
  </si>
  <si>
    <t>Chile España 651</t>
  </si>
  <si>
    <t>icembrano@azerta.cl</t>
  </si>
  <si>
    <t>944865836</t>
  </si>
  <si>
    <t>iscembrano@uc.cl</t>
  </si>
  <si>
    <t>Ignacio</t>
  </si>
  <si>
    <t>ACER</t>
  </si>
  <si>
    <t>13.529.165-k</t>
  </si>
  <si>
    <t>Juan Andres</t>
  </si>
  <si>
    <t>Abarca</t>
  </si>
  <si>
    <t>Castro</t>
  </si>
  <si>
    <t>Los alelies sur 12, Condominio Las Flores.</t>
  </si>
  <si>
    <t>jabarca@azerta.cl</t>
  </si>
  <si>
    <t>56998219599</t>
  </si>
  <si>
    <t>juanandres.abarcacastro@gmail.com</t>
  </si>
  <si>
    <t>Juan Andrés</t>
  </si>
  <si>
    <t>10.059.648-2</t>
  </si>
  <si>
    <t>Natalio Andrés</t>
  </si>
  <si>
    <t>Dorfman</t>
  </si>
  <si>
    <t>Liberman</t>
  </si>
  <si>
    <t>Suecia 2955</t>
  </si>
  <si>
    <t>ndorfman@azerta.cl</t>
  </si>
  <si>
    <t>98952359</t>
  </si>
  <si>
    <t>nadorfma@gmail.com</t>
  </si>
  <si>
    <t>18.497.525-4</t>
  </si>
  <si>
    <t>Javiera Fernanda</t>
  </si>
  <si>
    <t>Valladares</t>
  </si>
  <si>
    <t>Aravena</t>
  </si>
  <si>
    <t>Los Aviadores 850</t>
  </si>
  <si>
    <t>jvalladares@azerta.cl</t>
  </si>
  <si>
    <t>976605855</t>
  </si>
  <si>
    <t>valladares.javieraf@gmail.com</t>
  </si>
  <si>
    <t>Javi</t>
  </si>
  <si>
    <t>16.385.148-2</t>
  </si>
  <si>
    <t>Palma Lara Andrés Enrique</t>
  </si>
  <si>
    <t>Andrés Enrique</t>
  </si>
  <si>
    <t>Palma</t>
  </si>
  <si>
    <t>Lara</t>
  </si>
  <si>
    <t>Junior / Administracion</t>
  </si>
  <si>
    <t>Calle Flor del Notro 0203, torre a depto 307, Maipú, Chile</t>
  </si>
  <si>
    <t>apalma@azerta.cl</t>
  </si>
  <si>
    <t>56988837399</t>
  </si>
  <si>
    <t>a.palma.lara@gmail.com</t>
  </si>
  <si>
    <t>Maipú</t>
  </si>
  <si>
    <t>28.759.573-5</t>
  </si>
  <si>
    <t>Irene María</t>
  </si>
  <si>
    <t>Cobo</t>
  </si>
  <si>
    <t>Paris</t>
  </si>
  <si>
    <t>Camino Otoñal 1368, casa 1</t>
  </si>
  <si>
    <t>icobo@azerta.cl</t>
  </si>
  <si>
    <t>irenemariacobo@gmail.com</t>
  </si>
  <si>
    <t>Irene</t>
  </si>
  <si>
    <t>17.029.247-2</t>
  </si>
  <si>
    <t>ACLARA</t>
  </si>
  <si>
    <t>Felipe Josué Andrés</t>
  </si>
  <si>
    <t>Garrido</t>
  </si>
  <si>
    <t>Corvalan</t>
  </si>
  <si>
    <t>Exequiel Fernandez 279 casa E</t>
  </si>
  <si>
    <t>fgarrido@azerta.cl</t>
  </si>
  <si>
    <t>56966166888</t>
  </si>
  <si>
    <t>Paid Media</t>
  </si>
  <si>
    <t>felipegarrido11@gmail.com</t>
  </si>
  <si>
    <t>Felipe</t>
  </si>
  <si>
    <t>21.412.373-8</t>
  </si>
  <si>
    <t>Francisca Loreto</t>
  </si>
  <si>
    <t>Pantoja</t>
  </si>
  <si>
    <t>Trainee</t>
  </si>
  <si>
    <t>Avenida Apoquindo 4269, Las Condes, Chile</t>
  </si>
  <si>
    <t>fpantoja@azerta.cl</t>
  </si>
  <si>
    <t>56976598021</t>
  </si>
  <si>
    <t>franpantojah55@gmail.com</t>
  </si>
  <si>
    <t>Fran</t>
  </si>
  <si>
    <t>15.438.937-7</t>
  </si>
  <si>
    <t>Juvenal Andrés</t>
  </si>
  <si>
    <t>Sepúlveda</t>
  </si>
  <si>
    <t>Sebastian Elcano 1100, depto 201</t>
  </si>
  <si>
    <t>jsepulveda@azerta.cl</t>
  </si>
  <si>
    <t>988372126</t>
  </si>
  <si>
    <t>juvenal.sepulveda@gmail.com</t>
  </si>
  <si>
    <t>Juvenal</t>
  </si>
  <si>
    <t>20.075.913-3</t>
  </si>
  <si>
    <t>Cristóbal Andrés</t>
  </si>
  <si>
    <t>Donoso</t>
  </si>
  <si>
    <t>Wenzel</t>
  </si>
  <si>
    <t>Condominio Bosques de la Pirámide 960</t>
  </si>
  <si>
    <t>cdonoso@azerta.cl</t>
  </si>
  <si>
    <t>56997611954</t>
  </si>
  <si>
    <t>c.donosow@gmail.com</t>
  </si>
  <si>
    <t>Huechuraba</t>
  </si>
  <si>
    <t>20.783.188-3</t>
  </si>
  <si>
    <t>Belén</t>
  </si>
  <si>
    <t>Iturrate</t>
  </si>
  <si>
    <t>Pirola</t>
  </si>
  <si>
    <t>Av. Santa María 5610, la quebrada 101</t>
  </si>
  <si>
    <t>biturrate@azerta.cl</t>
  </si>
  <si>
    <t>956295772</t>
  </si>
  <si>
    <t>beleniturrate.p@gmail.com</t>
  </si>
  <si>
    <t>Vitacura</t>
  </si>
  <si>
    <t>15.770.775-2</t>
  </si>
  <si>
    <t>Claudio</t>
  </si>
  <si>
    <t>Lizama</t>
  </si>
  <si>
    <t>Espinoza</t>
  </si>
  <si>
    <t>Director/a - Comunicaciones</t>
  </si>
  <si>
    <t>ANIBAL PINTO 986 22</t>
  </si>
  <si>
    <t>clizama@azerta.cl</t>
  </si>
  <si>
    <t>56981230081</t>
  </si>
  <si>
    <t>claudiolizamaespinoza@gmail.com</t>
  </si>
  <si>
    <t>Quilpué</t>
  </si>
  <si>
    <t>15.318.696-0</t>
  </si>
  <si>
    <t>Mackenzie</t>
  </si>
  <si>
    <t>Kiessler</t>
  </si>
  <si>
    <t>Director/a Senior - Comunicaciones</t>
  </si>
  <si>
    <t>Av Echeñique 8940, casa i, La Reina</t>
  </si>
  <si>
    <t>pmackenzie@azerta.cl</t>
  </si>
  <si>
    <t>992190353</t>
  </si>
  <si>
    <t>paula.mackenzie@gmail.com</t>
  </si>
  <si>
    <t>Pau</t>
  </si>
  <si>
    <t>20.074.794-1</t>
  </si>
  <si>
    <t>Rohuede Fadda Sebastián Rodrigo</t>
  </si>
  <si>
    <t>Sebastián Rodrigo</t>
  </si>
  <si>
    <t>Rohuede</t>
  </si>
  <si>
    <t>Fadda</t>
  </si>
  <si>
    <t>Trainee - Digital</t>
  </si>
  <si>
    <t>Sendero del Artillero 6991, Las Condes, Chile</t>
  </si>
  <si>
    <t>srohuede@azerta.cl</t>
  </si>
  <si>
    <t>56975747297</t>
  </si>
  <si>
    <t>srohuede@gmail.com</t>
  </si>
  <si>
    <t>Seba</t>
  </si>
  <si>
    <t>13.955.054-4</t>
  </si>
  <si>
    <t>César Edgardo</t>
  </si>
  <si>
    <t>Zapata</t>
  </si>
  <si>
    <t>Bendel</t>
  </si>
  <si>
    <t>El Roble 12580, depto 208</t>
  </si>
  <si>
    <t>czapata@azerta.cl</t>
  </si>
  <si>
    <t>56971252261</t>
  </si>
  <si>
    <t>cesarzapatab@gmail.com</t>
  </si>
  <si>
    <t>César</t>
  </si>
  <si>
    <t>19.246.948-1</t>
  </si>
  <si>
    <t>Elisa Eliana</t>
  </si>
  <si>
    <t>Palomino</t>
  </si>
  <si>
    <t>Marchant</t>
  </si>
  <si>
    <t>Rinconada el salto 940, depto. 202.</t>
  </si>
  <si>
    <t>epalomino@azerta.cl</t>
  </si>
  <si>
    <t>994007933</t>
  </si>
  <si>
    <t>palominoelisa96@gmail.com</t>
  </si>
  <si>
    <t>Elisa o Eli</t>
  </si>
  <si>
    <t>17.108.779-1</t>
  </si>
  <si>
    <t>Ana Veronica</t>
  </si>
  <si>
    <t>Guzman</t>
  </si>
  <si>
    <t>Puebla</t>
  </si>
  <si>
    <t>Av. Fermín Vivaceta 1702, Departamento 911B</t>
  </si>
  <si>
    <t>aguzman@azerta.cl</t>
  </si>
  <si>
    <t>56956393200</t>
  </si>
  <si>
    <t>anita.guzmanpuebla@gmail.com</t>
  </si>
  <si>
    <t>Independencia</t>
  </si>
  <si>
    <t>Anita</t>
  </si>
  <si>
    <t>20.197.117-9</t>
  </si>
  <si>
    <t>Valentina Arlette</t>
  </si>
  <si>
    <t>Ramírez</t>
  </si>
  <si>
    <t>Garcés</t>
  </si>
  <si>
    <t>Hernán Cortés 3019, depto 45</t>
  </si>
  <si>
    <t>vramirez@azerta.cl</t>
  </si>
  <si>
    <t>961430222</t>
  </si>
  <si>
    <t>ramirezgarcesv@gmail.com</t>
  </si>
  <si>
    <t>Vale</t>
  </si>
  <si>
    <t>8.639.242-9</t>
  </si>
  <si>
    <t>María Isabel</t>
  </si>
  <si>
    <t>Retamal</t>
  </si>
  <si>
    <t>Vergara</t>
  </si>
  <si>
    <t>Colina del Sur 9708, casa 15</t>
  </si>
  <si>
    <t>iretamal@azerta.cl</t>
  </si>
  <si>
    <t>982920259</t>
  </si>
  <si>
    <t>isabelretamal@gmail.com</t>
  </si>
  <si>
    <t>Isa</t>
  </si>
  <si>
    <t>18.086.763-5</t>
  </si>
  <si>
    <t>Silva Orellana Carla</t>
  </si>
  <si>
    <t>Carla</t>
  </si>
  <si>
    <t>Asistente de Personas y Operaciones</t>
  </si>
  <si>
    <t>Pasaje Piloto Oyarzo 1939</t>
  </si>
  <si>
    <t>csilva@azerta.cl</t>
  </si>
  <si>
    <t>996720466</t>
  </si>
  <si>
    <t>carlasilvaorellana@gmail.com</t>
  </si>
  <si>
    <t>Puente Alto</t>
  </si>
  <si>
    <t>12.659.237-k</t>
  </si>
  <si>
    <t>Alejandro Enrique</t>
  </si>
  <si>
    <t>Saez</t>
  </si>
  <si>
    <t>Rojas</t>
  </si>
  <si>
    <t>Las Nieves 3477, depto. 95</t>
  </si>
  <si>
    <t>asaez@azerta.cl</t>
  </si>
  <si>
    <t>56992253674</t>
  </si>
  <si>
    <t>alejandrosaez@yahoo.com</t>
  </si>
  <si>
    <t>15.642.655-5</t>
  </si>
  <si>
    <t>Macarena Verónica</t>
  </si>
  <si>
    <t>Scheuch</t>
  </si>
  <si>
    <t>Navarrete</t>
  </si>
  <si>
    <t>Miguel Claro 483 depto 903</t>
  </si>
  <si>
    <t>mscheuch@azerta.cl</t>
  </si>
  <si>
    <t>990802410</t>
  </si>
  <si>
    <t>macarena.scheuch@gmail.com</t>
  </si>
  <si>
    <t>Maca</t>
  </si>
  <si>
    <t>19.078.174-7</t>
  </si>
  <si>
    <t>Yael Rossi</t>
  </si>
  <si>
    <t>Sherling</t>
  </si>
  <si>
    <t>Carvallo</t>
  </si>
  <si>
    <t>El radal 80, edificio peñon, depto 16.</t>
  </si>
  <si>
    <t>ysherling@azerta.cl</t>
  </si>
  <si>
    <t>56982369272</t>
  </si>
  <si>
    <t>yaelsherling@gmail.com</t>
  </si>
  <si>
    <t>Yael</t>
  </si>
  <si>
    <t>9.766.376-9</t>
  </si>
  <si>
    <t>Maria Cristina</t>
  </si>
  <si>
    <t>Bitar</t>
  </si>
  <si>
    <t>Maluk</t>
  </si>
  <si>
    <t>Socio</t>
  </si>
  <si>
    <t>EL CANAL INTERIOR 8527</t>
  </si>
  <si>
    <t>cbitar@azerta.cl</t>
  </si>
  <si>
    <t>56982493653</t>
  </si>
  <si>
    <t>bitarcristina@gmail.com</t>
  </si>
  <si>
    <t>Cristina</t>
  </si>
  <si>
    <t>17.600.407-k</t>
  </si>
  <si>
    <t>Toro Fuentes Felipe Alejandro</t>
  </si>
  <si>
    <t>Felipe Alejandro</t>
  </si>
  <si>
    <t>Toro</t>
  </si>
  <si>
    <t>Fuentes</t>
  </si>
  <si>
    <t>Asistente Administrativo</t>
  </si>
  <si>
    <t>Av. Irarrázaval 4569, depto. 407.</t>
  </si>
  <si>
    <t>ftoro@azerta.cl</t>
  </si>
  <si>
    <t>984299459</t>
  </si>
  <si>
    <t>felipe.a.toro@gmail.com</t>
  </si>
  <si>
    <t>Feli</t>
  </si>
  <si>
    <t>17.037.273-5</t>
  </si>
  <si>
    <t>Camila Pilar</t>
  </si>
  <si>
    <t>Beckdorf</t>
  </si>
  <si>
    <t>Portones de piedra 12253</t>
  </si>
  <si>
    <t>cbeckdorf@azerta.cl</t>
  </si>
  <si>
    <t>976152024</t>
  </si>
  <si>
    <t>camila.beckdorf@gmail.com</t>
  </si>
  <si>
    <t>Cami</t>
  </si>
  <si>
    <t>18.537.942-6</t>
  </si>
  <si>
    <t>Natalia Paulina</t>
  </si>
  <si>
    <t>Avenida Central Gonzalo Perez llona 140,</t>
  </si>
  <si>
    <t>nmartinez@azerta.cl</t>
  </si>
  <si>
    <t>985063796</t>
  </si>
  <si>
    <t>nati.martinez.c6@gmail.com</t>
  </si>
  <si>
    <t>Naty</t>
  </si>
  <si>
    <t>8.510.437-3</t>
  </si>
  <si>
    <t>Pablo Enrique</t>
  </si>
  <si>
    <t>Bravo</t>
  </si>
  <si>
    <t>Pérez</t>
  </si>
  <si>
    <t>Luz 2979 dpto. 45</t>
  </si>
  <si>
    <t>pbravo@azerta.cl</t>
  </si>
  <si>
    <t>922358436</t>
  </si>
  <si>
    <t>pbravoe@uc.cl</t>
  </si>
  <si>
    <t>22.628.222-k</t>
  </si>
  <si>
    <t>Vega Chavez Cindy</t>
  </si>
  <si>
    <t>Cindy</t>
  </si>
  <si>
    <t>Vega</t>
  </si>
  <si>
    <t>Chavez</t>
  </si>
  <si>
    <t>Av. Independencia 801, Depto. 709</t>
  </si>
  <si>
    <t>cvega@azerta.cl</t>
  </si>
  <si>
    <t>941287280</t>
  </si>
  <si>
    <t>cinthia.chile1986@gmail.com</t>
  </si>
  <si>
    <t>17.403.134-7</t>
  </si>
  <si>
    <t>Stefano Dimitri</t>
  </si>
  <si>
    <t>Marrazzo</t>
  </si>
  <si>
    <t>Guinis</t>
  </si>
  <si>
    <t>Director - Digital</t>
  </si>
  <si>
    <t>Luis Pereira 900, dpto 207</t>
  </si>
  <si>
    <t>smarrazzo@azerta.cl</t>
  </si>
  <si>
    <t>986626300</t>
  </si>
  <si>
    <t>ste1411@gmail.com</t>
  </si>
  <si>
    <t>Stefano</t>
  </si>
  <si>
    <t>10.818.275-k</t>
  </si>
  <si>
    <t>Edwards</t>
  </si>
  <si>
    <t>Marin</t>
  </si>
  <si>
    <t>AES ANDES</t>
  </si>
  <si>
    <t>ANTUMALAL 6662</t>
  </si>
  <si>
    <t>fedwards@azerta.cl</t>
  </si>
  <si>
    <t>56995799114</t>
  </si>
  <si>
    <t>felipeedwardsmarin@gmail.com</t>
  </si>
  <si>
    <t>15.720.094-1</t>
  </si>
  <si>
    <t>Marco</t>
  </si>
  <si>
    <t>Nicolini</t>
  </si>
  <si>
    <t>Saavedra</t>
  </si>
  <si>
    <t>Av. Obispo Valdés Subercaseaux 1857 depto 442</t>
  </si>
  <si>
    <t>mnicolini@azerta.cl</t>
  </si>
  <si>
    <t>968392005</t>
  </si>
  <si>
    <t>hola@marconicolini.cl</t>
  </si>
  <si>
    <t>15.433.915-9</t>
  </si>
  <si>
    <t>Mauricio</t>
  </si>
  <si>
    <t>Varas</t>
  </si>
  <si>
    <t>Salamanca</t>
  </si>
  <si>
    <t>Consultor/a Senior - Prensa</t>
  </si>
  <si>
    <t>Arturo Prat 376, Santiago. Depto 530</t>
  </si>
  <si>
    <t>mvaras@azerta.cl</t>
  </si>
  <si>
    <t>996175007</t>
  </si>
  <si>
    <t>mauriciovaras@gmail.com</t>
  </si>
  <si>
    <t>Santiago</t>
  </si>
  <si>
    <t>19.963.668-5</t>
  </si>
  <si>
    <t>María Trinidad</t>
  </si>
  <si>
    <t>Fischer</t>
  </si>
  <si>
    <t>Kuschel</t>
  </si>
  <si>
    <t>Camino Turístico 11399, 101</t>
  </si>
  <si>
    <t>tfischer@azerta.cl</t>
  </si>
  <si>
    <t>96911271</t>
  </si>
  <si>
    <t>tfischerk@gmail.com</t>
  </si>
  <si>
    <t>Trini</t>
  </si>
  <si>
    <t>18.956.291-8</t>
  </si>
  <si>
    <t>Javiera Ignacia</t>
  </si>
  <si>
    <t>Moreno</t>
  </si>
  <si>
    <t>Soza</t>
  </si>
  <si>
    <t>Ventura Blanco Viel 1270</t>
  </si>
  <si>
    <t>jmoreno@azerta.cl</t>
  </si>
  <si>
    <t>982898605</t>
  </si>
  <si>
    <t>Audiovisual</t>
  </si>
  <si>
    <t>Javiera.msoza@gmail.com</t>
  </si>
  <si>
    <t>San Miguel</t>
  </si>
  <si>
    <t>15.341.075-5</t>
  </si>
  <si>
    <t>Lisette</t>
  </si>
  <si>
    <t>Contreras</t>
  </si>
  <si>
    <t>EL CHASQUI 1229</t>
  </si>
  <si>
    <t>lgarrido@azerta.cl</t>
  </si>
  <si>
    <t>56975581079</t>
  </si>
  <si>
    <t>lisettegc@gmail.com</t>
  </si>
  <si>
    <t>12.403.456-6</t>
  </si>
  <si>
    <t>Daniela</t>
  </si>
  <si>
    <t>Lipari</t>
  </si>
  <si>
    <t>Pinochet</t>
  </si>
  <si>
    <t>ALFREDO ALMEYDA 6619</t>
  </si>
  <si>
    <t>dlipari@azerta.cl</t>
  </si>
  <si>
    <t>56998226653</t>
  </si>
  <si>
    <t>daniela.lipari@gmail.com</t>
  </si>
  <si>
    <t>26.054.812-3</t>
  </si>
  <si>
    <t>Martin Enrique</t>
  </si>
  <si>
    <t>Bernal</t>
  </si>
  <si>
    <t>Arcia</t>
  </si>
  <si>
    <t>Director Senior- Digital</t>
  </si>
  <si>
    <t>Bandera 898, Dpto 404.</t>
  </si>
  <si>
    <t>mbernal@azerta.cl</t>
  </si>
  <si>
    <t>56950284984</t>
  </si>
  <si>
    <t>maberarc@gmail.com</t>
  </si>
  <si>
    <t>Martín</t>
  </si>
  <si>
    <t>15.370.192-k</t>
  </si>
  <si>
    <t>Fernando Carlos</t>
  </si>
  <si>
    <t>Gomez</t>
  </si>
  <si>
    <t>Vial</t>
  </si>
  <si>
    <t>León 3481</t>
  </si>
  <si>
    <t>fgomez@azerta.cl</t>
  </si>
  <si>
    <t>56995769049</t>
  </si>
  <si>
    <t>fernandogomezvial@gmail.com</t>
  </si>
  <si>
    <t>10.321.885-3</t>
  </si>
  <si>
    <t>Antonio Federico</t>
  </si>
  <si>
    <t>Serrano</t>
  </si>
  <si>
    <t>Matas</t>
  </si>
  <si>
    <t>Gabriel Dannunzio 7251</t>
  </si>
  <si>
    <t>aserrano@azerta.cl</t>
  </si>
  <si>
    <t>993458267</t>
  </si>
  <si>
    <t>serranomatas@gmail.com</t>
  </si>
  <si>
    <t>Toño</t>
  </si>
  <si>
    <t>19.300.070-3</t>
  </si>
  <si>
    <t>Sandra Gabriela</t>
  </si>
  <si>
    <t>Acuña</t>
  </si>
  <si>
    <t>Gutiérrez</t>
  </si>
  <si>
    <t>Carabineros de Chile 232, Depto 152</t>
  </si>
  <si>
    <t>sacuna@azerta.cl</t>
  </si>
  <si>
    <t>976157545</t>
  </si>
  <si>
    <t>sandra.acuna@mail.udp.cl</t>
  </si>
  <si>
    <t>Sandra</t>
  </si>
  <si>
    <t>26.965.314-0</t>
  </si>
  <si>
    <t>Reimar Coromoto</t>
  </si>
  <si>
    <t>Padilla</t>
  </si>
  <si>
    <t>Castellano</t>
  </si>
  <si>
    <t>Portugal 676, Depto 426-B</t>
  </si>
  <si>
    <t>rpadilla@azerta.cl</t>
  </si>
  <si>
    <t>941066139</t>
  </si>
  <si>
    <t>r.padilla27@gmail.com</t>
  </si>
  <si>
    <t>Reimar, Rei</t>
  </si>
  <si>
    <t>11.709.203-8</t>
  </si>
  <si>
    <t>Sallorenzo</t>
  </si>
  <si>
    <t>Ortiz</t>
  </si>
  <si>
    <t>AVDA. LAS PERDICES 4240 82</t>
  </si>
  <si>
    <t>csallorenzo@azerta.cl</t>
  </si>
  <si>
    <t>56979644664</t>
  </si>
  <si>
    <t>clsallorenzo@gmail.com</t>
  </si>
  <si>
    <t>12.234.918-7</t>
  </si>
  <si>
    <t>Katiusca Del Pilar</t>
  </si>
  <si>
    <t>Campos</t>
  </si>
  <si>
    <t>Director/a - Prensa</t>
  </si>
  <si>
    <t>ORLEANS 3448</t>
  </si>
  <si>
    <t>kcampos@azerta.cl</t>
  </si>
  <si>
    <t>56973337212</t>
  </si>
  <si>
    <t>katicg@gmail.com</t>
  </si>
  <si>
    <t>Kati</t>
  </si>
  <si>
    <t>20.075.693-2</t>
  </si>
  <si>
    <t>Felipe Antonio</t>
  </si>
  <si>
    <t>Delgado</t>
  </si>
  <si>
    <t>Tornero</t>
  </si>
  <si>
    <t>Condominio Polo Manquehue IV, casa 142.</t>
  </si>
  <si>
    <t>fdelgado@azerta.cl</t>
  </si>
  <si>
    <t>979994029</t>
  </si>
  <si>
    <t>felipe.delgadotornero@gmail.com</t>
  </si>
  <si>
    <t>15.332.168-k</t>
  </si>
  <si>
    <t>Jaime Andres</t>
  </si>
  <si>
    <t>Gallo</t>
  </si>
  <si>
    <t>Calderon</t>
  </si>
  <si>
    <t>Pucará 4880. Depto 706</t>
  </si>
  <si>
    <t>jgallo@azerta.cl</t>
  </si>
  <si>
    <t>56991403694</t>
  </si>
  <si>
    <t>jaimegalloc@gmail.com</t>
  </si>
  <si>
    <t>19.438.665-6</t>
  </si>
  <si>
    <t>Alexander James</t>
  </si>
  <si>
    <t>Walmsley</t>
  </si>
  <si>
    <t>Hardy</t>
  </si>
  <si>
    <t>Consultor en IA - Digital</t>
  </si>
  <si>
    <t>El Dante 4200, depto 503</t>
  </si>
  <si>
    <t>awalmsley@azerta.cl</t>
  </si>
  <si>
    <t>995847991</t>
  </si>
  <si>
    <t>Alex.walmsley@gmail.com</t>
  </si>
  <si>
    <t>Alex</t>
  </si>
  <si>
    <t>20.909.557-2</t>
  </si>
  <si>
    <t>Alfonso</t>
  </si>
  <si>
    <t>Ventura</t>
  </si>
  <si>
    <t>El Roquerío 2381, Lo Barnechea, Chile</t>
  </si>
  <si>
    <t>acalderon@azerta.cl</t>
  </si>
  <si>
    <t>56964730921</t>
  </si>
  <si>
    <t>alfonsocalderon496@gmail.com</t>
  </si>
  <si>
    <t>7.772.177-0</t>
  </si>
  <si>
    <t>Castro González Alejandro</t>
  </si>
  <si>
    <t>Alejandro</t>
  </si>
  <si>
    <t>González</t>
  </si>
  <si>
    <t>Ejecutivo/a - Prensa</t>
  </si>
  <si>
    <t>Los Jardines 8267</t>
  </si>
  <si>
    <t>acastro@azerta.cl</t>
  </si>
  <si>
    <t>56977685324</t>
  </si>
  <si>
    <t>lawrence.ae@gmail.com</t>
  </si>
  <si>
    <t>19.876.073-0</t>
  </si>
  <si>
    <t>Lira</t>
  </si>
  <si>
    <t>Holanda 1297, departamento 601</t>
  </si>
  <si>
    <t>jgonzalez@azerta.cl</t>
  </si>
  <si>
    <t>966036740</t>
  </si>
  <si>
    <t>javieraglira@gmail.com</t>
  </si>
  <si>
    <t>18.172.756-k</t>
  </si>
  <si>
    <t>Bastian Nicolas</t>
  </si>
  <si>
    <t>Llanos</t>
  </si>
  <si>
    <t>Guijuelos</t>
  </si>
  <si>
    <t>Alonso de Ercilla 7935, dpto 302</t>
  </si>
  <si>
    <t>bllanos@azerta.cl</t>
  </si>
  <si>
    <t>AFP Capital</t>
  </si>
  <si>
    <t>993216697</t>
  </si>
  <si>
    <t>bastian11blue@gmail.com</t>
  </si>
  <si>
    <t>Bastián</t>
  </si>
  <si>
    <t>13.682.547-k</t>
  </si>
  <si>
    <t>Rodrigo</t>
  </si>
  <si>
    <t>Escorza</t>
  </si>
  <si>
    <t>ABDON CIFUENTES 241 1302</t>
  </si>
  <si>
    <t>rescorza@azerta.cl</t>
  </si>
  <si>
    <t>966096344</t>
  </si>
  <si>
    <t>rodrigoescorza@gmail.com</t>
  </si>
  <si>
    <t>20.165.428-9</t>
  </si>
  <si>
    <t>Josefina</t>
  </si>
  <si>
    <t>Robeson</t>
  </si>
  <si>
    <t>Ascencio de Zavala 2339</t>
  </si>
  <si>
    <t>jrobeson@azerta.cl</t>
  </si>
  <si>
    <t>971075377</t>
  </si>
  <si>
    <t>jrobeson@miuandes.cl</t>
  </si>
  <si>
    <t>Jo</t>
  </si>
  <si>
    <t>15.547.432-7</t>
  </si>
  <si>
    <t>Iturra Iturra Alejandra Inés</t>
  </si>
  <si>
    <t>Alejandra Inés</t>
  </si>
  <si>
    <t>Iturra</t>
  </si>
  <si>
    <t>Manizales 6648</t>
  </si>
  <si>
    <t>aiturra@azerta.cl</t>
  </si>
  <si>
    <t>940637321</t>
  </si>
  <si>
    <t>iturraalejandra@gmail.com</t>
  </si>
  <si>
    <t>Alejandra</t>
  </si>
  <si>
    <t>27.028.873-1</t>
  </si>
  <si>
    <t>Alicia María</t>
  </si>
  <si>
    <t>Domínguez</t>
  </si>
  <si>
    <t>Kopecky</t>
  </si>
  <si>
    <t>Teresa Concha Walker 1244, depto 304</t>
  </si>
  <si>
    <t>adominguez@azerta.cl</t>
  </si>
  <si>
    <t>934046637</t>
  </si>
  <si>
    <t>ali.dominguez87@gmail.com</t>
  </si>
  <si>
    <t>Ali o Alice</t>
  </si>
  <si>
    <t>15.959.738-5</t>
  </si>
  <si>
    <t>Javiera Paz</t>
  </si>
  <si>
    <t>Soto</t>
  </si>
  <si>
    <t>Doctora Eloisa Diaz 5731</t>
  </si>
  <si>
    <t>jsoto@azerta.cl</t>
  </si>
  <si>
    <t>995395161</t>
  </si>
  <si>
    <t>javiera.soto@gmail.com</t>
  </si>
  <si>
    <t>20.704.416-4</t>
  </si>
  <si>
    <t>Narváez Ojeda Javiera Almendra</t>
  </si>
  <si>
    <t>Javiera Almendra</t>
  </si>
  <si>
    <t>Narváez</t>
  </si>
  <si>
    <t>Ojeda</t>
  </si>
  <si>
    <t>San Enrique 1467 C2, El Retiro</t>
  </si>
  <si>
    <t>jnarvaez@azerta.cl</t>
  </si>
  <si>
    <t>921664133</t>
  </si>
  <si>
    <t>javiera.narvaez.ojeda@gmail.com</t>
  </si>
  <si>
    <t>8.320.724-8</t>
  </si>
  <si>
    <t>Johnston Guerra Ximena</t>
  </si>
  <si>
    <t>Ximena</t>
  </si>
  <si>
    <t>Johnston</t>
  </si>
  <si>
    <t>Guerra</t>
  </si>
  <si>
    <t>Alcalde Pedro Alarcón 777, depto 410</t>
  </si>
  <si>
    <t>xjohnston@azerta.cl</t>
  </si>
  <si>
    <t>997330339</t>
  </si>
  <si>
    <t>Xmjohnston@live.cl</t>
  </si>
  <si>
    <t>13.489.046-0</t>
  </si>
  <si>
    <t>Nuñez Oyarzun Marcia Andrea</t>
  </si>
  <si>
    <t>Marcia Andrea</t>
  </si>
  <si>
    <t>Nuñez</t>
  </si>
  <si>
    <t>Oyarzun</t>
  </si>
  <si>
    <t>Los Placeres 848</t>
  </si>
  <si>
    <t>mnunez@azerta.cl</t>
  </si>
  <si>
    <t>981541001</t>
  </si>
  <si>
    <t>mnunezo78@gmail.com</t>
  </si>
  <si>
    <t>Los Andes</t>
  </si>
  <si>
    <t>Marcia</t>
  </si>
  <si>
    <t>16.102.099-0</t>
  </si>
  <si>
    <t>Obando Levill Verónica Cristina</t>
  </si>
  <si>
    <t>Verónica Cristina</t>
  </si>
  <si>
    <t>Obando</t>
  </si>
  <si>
    <t>Levill</t>
  </si>
  <si>
    <t>Avenida El Parque 1183</t>
  </si>
  <si>
    <t>vobando@azerta.cl</t>
  </si>
  <si>
    <t>988334408</t>
  </si>
  <si>
    <t>veronicaobandolevill@gmail.com</t>
  </si>
  <si>
    <t>Verónica</t>
  </si>
  <si>
    <t>13.038.126-k</t>
  </si>
  <si>
    <t>Sandra Carolina</t>
  </si>
  <si>
    <t>Verdejo</t>
  </si>
  <si>
    <t>SANTA CORINA 101 DEPTO 248</t>
  </si>
  <si>
    <t>sverdejo@azerta.cl</t>
  </si>
  <si>
    <t>56975923364</t>
  </si>
  <si>
    <t>scvv10@gmail.com</t>
  </si>
  <si>
    <t>17.028.885-8</t>
  </si>
  <si>
    <t>María José</t>
  </si>
  <si>
    <t>Peña</t>
  </si>
  <si>
    <t>Doctor Torres Boonen 829, departamento A</t>
  </si>
  <si>
    <t>mjpena@azerta.cl</t>
  </si>
  <si>
    <t>981230409</t>
  </si>
  <si>
    <t>pg.mariajose@gmail.com</t>
  </si>
  <si>
    <t>Mane</t>
  </si>
  <si>
    <t>17.353.392-6</t>
  </si>
  <si>
    <t>Francisco Gastón</t>
  </si>
  <si>
    <t>Ramdohr</t>
  </si>
  <si>
    <t>Browne</t>
  </si>
  <si>
    <t>Av. José Rabat 10.670, Condominio Los Maderos, calle Los Lingues N°18</t>
  </si>
  <si>
    <t>Framdohr@azerta.cl</t>
  </si>
  <si>
    <t>92829224</t>
  </si>
  <si>
    <t>framdohrb@gmail.com</t>
  </si>
  <si>
    <t>Taqui</t>
  </si>
  <si>
    <t>16.468.441-5</t>
  </si>
  <si>
    <t>Romina Pamela</t>
  </si>
  <si>
    <t>Av. Consistorial 5110, depto 307 Torre 2</t>
  </si>
  <si>
    <t>romina.alvarez@azerta.cl</t>
  </si>
  <si>
    <t>56988377729</t>
  </si>
  <si>
    <t>ro.alvarez12@gmail.com</t>
  </si>
  <si>
    <t>Romi</t>
  </si>
  <si>
    <t>11.625.604-5</t>
  </si>
  <si>
    <t>Carlos Jose</t>
  </si>
  <si>
    <t>Vallejos</t>
  </si>
  <si>
    <t>Poblete</t>
  </si>
  <si>
    <t>ALGECIRAS 755</t>
  </si>
  <si>
    <t>cvallejos@azerta.cl</t>
  </si>
  <si>
    <t>56991387173</t>
  </si>
  <si>
    <t>cjvallejos0707@gmail.com</t>
  </si>
  <si>
    <t>Carlos</t>
  </si>
  <si>
    <t>18.636.911-4</t>
  </si>
  <si>
    <t>Nieves Isabel</t>
  </si>
  <si>
    <t>Alcaino</t>
  </si>
  <si>
    <t>Cueto</t>
  </si>
  <si>
    <t>El Rey 730, dpto. 205</t>
  </si>
  <si>
    <t>nalcaino@azerta.cl</t>
  </si>
  <si>
    <t>77488061</t>
  </si>
  <si>
    <t>nievesalcainoc@gmail.com</t>
  </si>
  <si>
    <t>Nieves</t>
  </si>
  <si>
    <t>17.407.755-k</t>
  </si>
  <si>
    <t>Stefano Antonio</t>
  </si>
  <si>
    <t>Bacigalupo</t>
  </si>
  <si>
    <t>Arce</t>
  </si>
  <si>
    <t>Agustín del Castillo 2841, depto 704A</t>
  </si>
  <si>
    <t>sbacigalupo@azerta.cl</t>
  </si>
  <si>
    <t>56937088128</t>
  </si>
  <si>
    <t>sabacigalupoa@gmail.com</t>
  </si>
  <si>
    <t>15.722.742-4</t>
  </si>
  <si>
    <t>Robert Cowan</t>
  </si>
  <si>
    <t>Currie</t>
  </si>
  <si>
    <t>Ríos</t>
  </si>
  <si>
    <t>Nocedal 6573, Casa E</t>
  </si>
  <si>
    <t>rcurrie@azerta.cl</t>
  </si>
  <si>
    <t>993438112</t>
  </si>
  <si>
    <t>robertcurrierios@gmail.com</t>
  </si>
  <si>
    <t>Robert</t>
  </si>
  <si>
    <t>8.929.175-5</t>
  </si>
  <si>
    <t>Miguel Luis</t>
  </si>
  <si>
    <t>Flores</t>
  </si>
  <si>
    <t>Vargas</t>
  </si>
  <si>
    <t>CAMINO DEL YUNGUE 14144 10</t>
  </si>
  <si>
    <t>mflores@azerta.cl</t>
  </si>
  <si>
    <t>56975161584</t>
  </si>
  <si>
    <t>floresvargasmiguel@gmail.com</t>
  </si>
  <si>
    <t>14.045.482-6</t>
  </si>
  <si>
    <t>Ian Eduardo</t>
  </si>
  <si>
    <t>Mackinnon</t>
  </si>
  <si>
    <t>Nilo</t>
  </si>
  <si>
    <t>Las Ñipas 4031</t>
  </si>
  <si>
    <t>imackinnon@azerta.cl</t>
  </si>
  <si>
    <t>56998216099</t>
  </si>
  <si>
    <t>mackinnon.ian@gmail.com</t>
  </si>
  <si>
    <t>AFP Cuprum</t>
  </si>
  <si>
    <t>Ian</t>
  </si>
  <si>
    <t>AFPs</t>
  </si>
  <si>
    <t>AGUAS ANDINAS</t>
  </si>
  <si>
    <t>Aguas Horizonte</t>
  </si>
  <si>
    <t>ALGECIRAS</t>
  </si>
  <si>
    <t>ALTO MAIPO SPA</t>
  </si>
  <si>
    <t>APPLE</t>
  </si>
  <si>
    <t>APRIMIN</t>
  </si>
  <si>
    <t>Australis</t>
  </si>
  <si>
    <t>Azerta</t>
  </si>
  <si>
    <t>BANCO SANTANDER</t>
  </si>
  <si>
    <t>BANMEDICA</t>
  </si>
  <si>
    <t>BHP</t>
  </si>
  <si>
    <t>BIOSANO</t>
  </si>
  <si>
    <t>BOW (Proyecto)</t>
  </si>
  <si>
    <t>Bupa</t>
  </si>
  <si>
    <t>Candidaturas Chile</t>
  </si>
  <si>
    <t>CAP</t>
  </si>
  <si>
    <t>CHEC</t>
  </si>
  <si>
    <t>CHINA RAILWAY (CRCCI)</t>
  </si>
  <si>
    <t>CHV</t>
  </si>
  <si>
    <t>CIAL</t>
  </si>
  <si>
    <t>COCA COLA</t>
  </si>
  <si>
    <t>Colmena</t>
  </si>
  <si>
    <t>COLUN</t>
  </si>
  <si>
    <t>COMUNIDAD MUJER</t>
  </si>
  <si>
    <t>Congreso</t>
  </si>
  <si>
    <t>CRUZADOS</t>
  </si>
  <si>
    <t>Deficit 0</t>
  </si>
  <si>
    <t>DOMINGA</t>
  </si>
  <si>
    <t>DREAMS</t>
  </si>
  <si>
    <t>ECHEVERRÍA IZQUIERDO (PROYECTO)</t>
  </si>
  <si>
    <t>Electrolux</t>
  </si>
  <si>
    <t>EMPRESAS PENTA</t>
  </si>
  <si>
    <t>Equinox</t>
  </si>
  <si>
    <t>ESG</t>
  </si>
  <si>
    <t>Exxacon</t>
  </si>
  <si>
    <t>Fray Leon Family Office (2 meses)</t>
  </si>
  <si>
    <t>FREEPORT EL ABRA</t>
  </si>
  <si>
    <t>GIA</t>
  </si>
  <si>
    <t>GRUPO COSTANERA</t>
  </si>
  <si>
    <t>Grupo Patio</t>
  </si>
  <si>
    <t>HANCOCK</t>
  </si>
  <si>
    <t>Hortifrut</t>
  </si>
  <si>
    <t>IFPI</t>
  </si>
  <si>
    <t>Inmobiliaria Manquehue</t>
  </si>
  <si>
    <t>Mantos Blancos</t>
  </si>
  <si>
    <t>Marimaca</t>
  </si>
  <si>
    <t>MASTERCARD</t>
  </si>
  <si>
    <t>MEDICINA UC</t>
  </si>
  <si>
    <t>Metlife</t>
  </si>
  <si>
    <t>Metrogas</t>
  </si>
  <si>
    <t>Mutual</t>
  </si>
  <si>
    <t>NESTLE</t>
  </si>
  <si>
    <t>NISUM</t>
  </si>
  <si>
    <t>ONU Chile (Proyecto por una sola vez)</t>
  </si>
  <si>
    <t>Orion X</t>
  </si>
  <si>
    <t>Permisología</t>
  </si>
  <si>
    <t>Pluxee</t>
  </si>
  <si>
    <t>Propuestas</t>
  </si>
  <si>
    <t>Puerto Coronel</t>
  </si>
  <si>
    <t>RED UC</t>
  </si>
  <si>
    <t>Rio Tinto</t>
  </si>
  <si>
    <t>SCANIA</t>
  </si>
  <si>
    <t>SCHWAGER</t>
  </si>
  <si>
    <t>Securiport</t>
  </si>
  <si>
    <t>Silver Sea</t>
  </si>
  <si>
    <t>SQM / Novandino</t>
  </si>
  <si>
    <t>SQM Yodo</t>
  </si>
  <si>
    <t>STARKEN</t>
  </si>
  <si>
    <t>SURALIS</t>
  </si>
  <si>
    <t>Talleres de Vocería</t>
  </si>
  <si>
    <t>Techint</t>
  </si>
  <si>
    <t>Techo</t>
  </si>
  <si>
    <t>Teck</t>
  </si>
  <si>
    <t>Terra Master</t>
  </si>
  <si>
    <t>TNT SPORTS</t>
  </si>
  <si>
    <t>Todoplay</t>
  </si>
  <si>
    <t>TRANSELEC</t>
  </si>
  <si>
    <t>ULTRAMAR</t>
  </si>
  <si>
    <t>ULTRANAV</t>
  </si>
  <si>
    <t>WOM</t>
  </si>
  <si>
    <t>ZONA FRANCA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</si>
</sst>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8">
    <font>
      <sz val="11.0"/>
      <color theme="1"/>
      <name val="Calibri"/>
      <scheme val="minor"/>
    </font>
    <font>
      <color theme="1"/>
      <name val="Calibri"/>
      <scheme val="minor"/>
    </font>
    <font>
      <b/>
      <sz val="16.0"/>
      <color rgb="FF1F4E78"/>
      <name val="Quattrocento Sans"/>
    </font>
    <font>
      <i/>
      <sz val="10.0"/>
      <color rgb="FF595959"/>
      <name val="Quattrocento Sans"/>
    </font>
    <font>
      <b/>
      <sz val="11.0"/>
      <color rgb="FFFFFFFF"/>
      <name val="Quattrocento Sans"/>
    </font>
    <font>
      <sz val="10.0"/>
      <color theme="1"/>
      <name val="Quattrocento Sans"/>
    </font>
    <font>
      <b/>
      <sz val="10.0"/>
      <color theme="1"/>
      <name val="Quattrocento Sans"/>
    </font>
    <font>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F9FAFB"/>
        <bgColor rgb="FFF9FAFB"/>
      </patternFill>
    </fill>
    <fill>
      <patternFill patternType="solid">
        <fgColor rgb="FFD9E1F2"/>
        <bgColor rgb="FFD9E1F2"/>
      </patternFill>
    </fill>
  </fills>
  <borders count="4">
    <border/>
    <border>
      <left/>
      <right/>
      <top/>
      <bottom/>
    </border>
    <border>
      <left style="thin">
        <color rgb="FFD9D9D9"/>
      </left>
      <right style="thin">
        <color rgb="FFD9D9D9"/>
      </right>
      <top style="thin">
        <color rgb="FFD9D9D9"/>
      </top>
      <bottom style="thin">
        <color rgb="FFD9D9D9"/>
      </bottom>
    </border>
    <border>
      <top style="thin">
        <color rgb="FF1F4E78"/>
      </top>
      <bottom style="double">
        <color rgb="FF1F4E78"/>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left" vertical="center"/>
    </xf>
    <xf borderId="1" fillId="2" fontId="4" numFmtId="0" xfId="0" applyAlignment="1" applyBorder="1" applyFill="1" applyFont="1">
      <alignment horizontal="left" shrinkToFit="0" vertical="center" wrapText="1"/>
    </xf>
    <xf borderId="2" fillId="0" fontId="5" numFmtId="0" xfId="0" applyBorder="1" applyFont="1"/>
    <xf borderId="1" fillId="2" fontId="4" numFmtId="0" xfId="0" applyAlignment="1" applyBorder="1" applyFill="1" applyFont="1">
      <alignment horizontal="center" shrinkToFit="0" vertical="center" wrapText="1"/>
    </xf>
    <xf borderId="2" fillId="3" fontId="5" numFmtId="0" xfId="0" applyAlignment="1" applyBorder="1" applyFill="1" applyFont="1">
      <alignment vertical="center"/>
    </xf>
    <xf borderId="2" fillId="3" fontId="6" numFmtId="0" xfId="0" applyAlignment="1" applyBorder="1" applyFill="1" applyFont="1">
      <alignment horizontal="center" vertical="center"/>
    </xf>
    <xf borderId="0" fillId="0" fontId="7" numFmtId="164" xfId="0" applyFont="1" applyNumberFormat="1"/>
    <xf borderId="2" fillId="3" fontId="5" numFmtId="0" xfId="0" applyAlignment="1" applyBorder="1" applyFill="1" applyFont="1">
      <alignment shrinkToFit="0" vertical="center" wrapText="1"/>
    </xf>
    <xf borderId="2" fillId="0" fontId="5" numFmtId="0" xfId="0" applyAlignment="1" applyBorder="1" applyFont="1">
      <alignment vertical="center"/>
    </xf>
    <xf borderId="2" fillId="0" fontId="6" numFmtId="0" xfId="0" applyAlignment="1" applyBorder="1" applyFont="1">
      <alignment horizontal="center" vertical="center"/>
    </xf>
    <xf borderId="2" fillId="0" fontId="5" numFmtId="0" xfId="0" applyAlignment="1" applyBorder="1" applyFont="1">
      <alignment shrinkToFit="0" vertical="center" wrapText="1"/>
    </xf>
    <xf borderId="2" fillId="4" fontId="6" numFmtId="0" xfId="0" applyBorder="1" applyFill="1" applyFont="1"/>
    <xf borderId="2" fillId="4" fontId="6" numFmtId="165" xfId="0" applyAlignment="1" applyBorder="1" applyFill="1" applyFont="1" applyNumberFormat="1">
      <alignment horizontal="center" vertical="center"/>
    </xf>
    <xf borderId="2" fillId="4" fontId="7" numFmtId="0" xfId="0" applyBorder="1" applyFill="1" applyFont="1"/>
    <xf borderId="3" fillId="0" fontId="5" numFmtId="0" xfId="0" applyAlignment="1" applyBorder="1" applyFont="1">
      <alignment vertical="center"/>
    </xf>
    <xf borderId="3" fillId="0" fontId="6" numFmtId="0" xfId="0" applyAlignment="1" applyBorder="1" applyFont="1">
      <alignment horizontal="center" vertical="center"/>
    </xf>
    <xf borderId="3"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22.0"/>
    <col customWidth="1" min="3" max="3" width="100.14"/>
    <col customWidth="1" min="4" max="26" width="8.86"/>
  </cols>
  <sheetData>
    <row r="1">
      <c r="A1" s="2" t="s">
        <v>2</v>
      </c>
    </row>
    <row r="2">
      <c r="A2" s="3" t="s">
        <v>4</v>
      </c>
    </row>
    <row r="4" ht="24.75" customHeight="1">
      <c r="A4" s="5" t="s">
        <v>10</v>
      </c>
      <c r="B4" s="7" t="s">
        <v>24</v>
      </c>
      <c r="C4" s="5" t="s">
        <v>35</v>
      </c>
    </row>
    <row r="5" ht="19.5" customHeight="1">
      <c r="A5" s="8" t="s">
        <v>40</v>
      </c>
      <c r="B5" s="9">
        <v>31.0</v>
      </c>
      <c r="C5" s="11" t="s">
        <v>48</v>
      </c>
    </row>
    <row r="6" ht="19.5" customHeight="1">
      <c r="A6" s="8" t="s">
        <v>59</v>
      </c>
      <c r="B6" s="9">
        <v>23.0</v>
      </c>
      <c r="C6" s="11" t="s">
        <v>62</v>
      </c>
    </row>
    <row r="7" ht="19.5" customHeight="1">
      <c r="A7" s="8" t="s">
        <v>66</v>
      </c>
      <c r="B7" s="9">
        <v>21.0</v>
      </c>
      <c r="C7" s="11" t="s">
        <v>69</v>
      </c>
    </row>
    <row r="8" ht="19.5" customHeight="1">
      <c r="A8" s="8" t="s">
        <v>73</v>
      </c>
      <c r="B8" s="9">
        <v>16.0</v>
      </c>
      <c r="C8" s="11" t="s">
        <v>74</v>
      </c>
    </row>
    <row r="9" ht="19.5" customHeight="1">
      <c r="A9" s="8" t="s">
        <v>61</v>
      </c>
      <c r="B9" s="9">
        <v>14.0</v>
      </c>
      <c r="C9" s="11" t="s">
        <v>79</v>
      </c>
    </row>
    <row r="10" ht="19.5" customHeight="1">
      <c r="A10" s="8" t="s">
        <v>83</v>
      </c>
      <c r="B10" s="9">
        <v>13.0</v>
      </c>
      <c r="C10" s="11" t="s">
        <v>87</v>
      </c>
    </row>
    <row r="11" ht="19.5" customHeight="1">
      <c r="A11" s="12" t="s">
        <v>93</v>
      </c>
      <c r="B11" s="13">
        <v>12.0</v>
      </c>
      <c r="C11" s="14" t="s">
        <v>109</v>
      </c>
    </row>
    <row r="12" ht="19.5" customHeight="1">
      <c r="A12" s="12" t="s">
        <v>114</v>
      </c>
      <c r="B12" s="13">
        <v>12.0</v>
      </c>
      <c r="C12" s="14" t="s">
        <v>119</v>
      </c>
    </row>
    <row r="13" ht="19.5" customHeight="1">
      <c r="A13" s="8" t="s">
        <v>122</v>
      </c>
      <c r="B13" s="9">
        <v>12.0</v>
      </c>
      <c r="C13" s="11" t="s">
        <v>124</v>
      </c>
    </row>
    <row r="14" ht="19.5" customHeight="1">
      <c r="A14" s="12" t="s">
        <v>127</v>
      </c>
      <c r="B14" s="13">
        <v>11.0</v>
      </c>
      <c r="C14" s="14" t="s">
        <v>130</v>
      </c>
    </row>
    <row r="15" ht="19.5" customHeight="1">
      <c r="A15" s="8" t="s">
        <v>133</v>
      </c>
      <c r="B15" s="9">
        <v>11.0</v>
      </c>
      <c r="C15" s="11" t="s">
        <v>137</v>
      </c>
    </row>
    <row r="16" ht="19.5" customHeight="1">
      <c r="A16" s="8" t="s">
        <v>140</v>
      </c>
      <c r="B16" s="9">
        <v>10.0</v>
      </c>
      <c r="C16" s="11" t="s">
        <v>142</v>
      </c>
    </row>
    <row r="17" ht="19.5" customHeight="1">
      <c r="A17" s="12" t="s">
        <v>144</v>
      </c>
      <c r="B17" s="13">
        <v>10.0</v>
      </c>
      <c r="C17" s="14" t="s">
        <v>146</v>
      </c>
    </row>
    <row r="18" ht="19.5" customHeight="1">
      <c r="A18" s="8" t="s">
        <v>151</v>
      </c>
      <c r="B18" s="9">
        <v>10.0</v>
      </c>
      <c r="C18" s="11" t="s">
        <v>156</v>
      </c>
    </row>
    <row r="19" ht="19.5" customHeight="1">
      <c r="A19" s="12" t="s">
        <v>160</v>
      </c>
      <c r="B19" s="13">
        <v>9.0</v>
      </c>
      <c r="C19" s="14" t="s">
        <v>161</v>
      </c>
    </row>
    <row r="20" ht="19.5" customHeight="1">
      <c r="A20" s="12" t="s">
        <v>164</v>
      </c>
      <c r="B20" s="13">
        <v>9.0</v>
      </c>
      <c r="C20" s="14" t="s">
        <v>167</v>
      </c>
    </row>
    <row r="21" ht="19.5" customHeight="1">
      <c r="A21" s="8" t="s">
        <v>171</v>
      </c>
      <c r="B21" s="9">
        <v>9.0</v>
      </c>
      <c r="C21" s="11" t="s">
        <v>175</v>
      </c>
    </row>
    <row r="22" ht="19.5" customHeight="1">
      <c r="A22" s="12" t="s">
        <v>150</v>
      </c>
      <c r="B22" s="13">
        <v>9.0</v>
      </c>
      <c r="C22" s="14" t="s">
        <v>180</v>
      </c>
    </row>
    <row r="23" ht="19.5" customHeight="1">
      <c r="A23" s="12" t="s">
        <v>183</v>
      </c>
      <c r="B23" s="13">
        <v>8.0</v>
      </c>
      <c r="C23" s="14" t="s">
        <v>185</v>
      </c>
    </row>
    <row r="24" ht="19.5" customHeight="1">
      <c r="A24" s="8" t="s">
        <v>188</v>
      </c>
      <c r="B24" s="9">
        <v>8.0</v>
      </c>
      <c r="C24" s="11" t="s">
        <v>192</v>
      </c>
    </row>
    <row r="25" ht="19.5" customHeight="1">
      <c r="A25" s="8" t="s">
        <v>195</v>
      </c>
      <c r="B25" s="9">
        <v>8.0</v>
      </c>
      <c r="C25" s="11" t="s">
        <v>197</v>
      </c>
    </row>
    <row r="26" ht="19.5" customHeight="1">
      <c r="A26" s="8" t="s">
        <v>199</v>
      </c>
      <c r="B26" s="9">
        <v>8.0</v>
      </c>
      <c r="C26" s="11" t="s">
        <v>202</v>
      </c>
    </row>
    <row r="27" ht="19.5" customHeight="1">
      <c r="A27" s="8" t="s">
        <v>30</v>
      </c>
      <c r="B27" s="9">
        <v>7.0</v>
      </c>
      <c r="C27" s="11" t="s">
        <v>207</v>
      </c>
    </row>
    <row r="28" ht="19.5" customHeight="1">
      <c r="A28" s="12" t="s">
        <v>203</v>
      </c>
      <c r="B28" s="13">
        <v>7.0</v>
      </c>
      <c r="C28" s="14" t="s">
        <v>211</v>
      </c>
    </row>
    <row r="29" ht="19.5" customHeight="1">
      <c r="A29" s="12" t="s">
        <v>213</v>
      </c>
      <c r="B29" s="13">
        <v>7.0</v>
      </c>
      <c r="C29" s="14" t="s">
        <v>215</v>
      </c>
    </row>
    <row r="30" ht="19.5" customHeight="1">
      <c r="A30" s="12" t="s">
        <v>219</v>
      </c>
      <c r="B30" s="13">
        <v>7.0</v>
      </c>
      <c r="C30" s="14" t="s">
        <v>222</v>
      </c>
    </row>
    <row r="31" ht="19.5" customHeight="1">
      <c r="A31" s="12" t="s">
        <v>225</v>
      </c>
      <c r="B31" s="13">
        <v>7.0</v>
      </c>
      <c r="C31" s="14" t="s">
        <v>227</v>
      </c>
    </row>
    <row r="32" ht="19.5" customHeight="1">
      <c r="A32" s="12" t="s">
        <v>229</v>
      </c>
      <c r="B32" s="13">
        <v>7.0</v>
      </c>
      <c r="C32" s="14" t="s">
        <v>230</v>
      </c>
    </row>
    <row r="33" ht="19.5" customHeight="1">
      <c r="A33" s="8" t="s">
        <v>234</v>
      </c>
      <c r="B33" s="9">
        <v>7.0</v>
      </c>
      <c r="C33" s="11" t="s">
        <v>238</v>
      </c>
    </row>
    <row r="34" ht="19.5" customHeight="1">
      <c r="A34" s="8" t="s">
        <v>241</v>
      </c>
      <c r="B34" s="9">
        <v>7.0</v>
      </c>
      <c r="C34" s="11" t="s">
        <v>243</v>
      </c>
    </row>
    <row r="35" ht="19.5" customHeight="1">
      <c r="A35" s="8" t="s">
        <v>245</v>
      </c>
      <c r="B35" s="9">
        <v>7.0</v>
      </c>
      <c r="C35" s="11" t="s">
        <v>248</v>
      </c>
    </row>
    <row r="36" ht="19.5" customHeight="1">
      <c r="A36" s="12" t="s">
        <v>42</v>
      </c>
      <c r="B36" s="13">
        <v>7.0</v>
      </c>
      <c r="C36" s="14" t="s">
        <v>253</v>
      </c>
    </row>
    <row r="37" ht="19.5" customHeight="1">
      <c r="A37" s="8" t="s">
        <v>256</v>
      </c>
      <c r="B37" s="9">
        <v>7.0</v>
      </c>
      <c r="C37" s="11" t="s">
        <v>259</v>
      </c>
    </row>
    <row r="38" ht="19.5" customHeight="1">
      <c r="A38" s="12" t="s">
        <v>261</v>
      </c>
      <c r="B38" s="13">
        <v>7.0</v>
      </c>
      <c r="C38" s="14" t="s">
        <v>262</v>
      </c>
    </row>
    <row r="39" ht="19.5" customHeight="1">
      <c r="A39" s="8" t="s">
        <v>263</v>
      </c>
      <c r="B39" s="9">
        <v>7.0</v>
      </c>
      <c r="C39" s="11" t="s">
        <v>264</v>
      </c>
    </row>
    <row r="40" ht="19.5" customHeight="1">
      <c r="A40" s="8" t="s">
        <v>266</v>
      </c>
      <c r="B40" s="9">
        <v>6.0</v>
      </c>
      <c r="C40" s="11" t="s">
        <v>277</v>
      </c>
    </row>
    <row r="41" ht="19.5" customHeight="1">
      <c r="A41" s="8" t="s">
        <v>279</v>
      </c>
      <c r="B41" s="9">
        <v>6.0</v>
      </c>
      <c r="C41" s="11" t="s">
        <v>281</v>
      </c>
    </row>
    <row r="42" ht="19.5" customHeight="1">
      <c r="A42" s="12" t="s">
        <v>148</v>
      </c>
      <c r="B42" s="13">
        <v>6.0</v>
      </c>
      <c r="C42" s="14" t="s">
        <v>286</v>
      </c>
    </row>
    <row r="43" ht="19.5" customHeight="1">
      <c r="A43" s="8" t="s">
        <v>288</v>
      </c>
      <c r="B43" s="9">
        <v>6.0</v>
      </c>
      <c r="C43" s="11" t="s">
        <v>292</v>
      </c>
    </row>
    <row r="44" ht="19.5" customHeight="1">
      <c r="A44" s="12" t="s">
        <v>294</v>
      </c>
      <c r="B44" s="13">
        <v>6.0</v>
      </c>
      <c r="C44" s="14" t="s">
        <v>296</v>
      </c>
    </row>
    <row r="45" ht="19.5" customHeight="1">
      <c r="A45" s="12" t="s">
        <v>299</v>
      </c>
      <c r="B45" s="13">
        <v>6.0</v>
      </c>
      <c r="C45" s="14" t="s">
        <v>300</v>
      </c>
    </row>
    <row r="46" ht="19.5" customHeight="1">
      <c r="A46" s="12" t="s">
        <v>304</v>
      </c>
      <c r="B46" s="13">
        <v>6.0</v>
      </c>
      <c r="C46" s="14" t="s">
        <v>306</v>
      </c>
    </row>
    <row r="47" ht="19.5" customHeight="1">
      <c r="A47" s="8" t="s">
        <v>309</v>
      </c>
      <c r="B47" s="9">
        <v>6.0</v>
      </c>
      <c r="C47" s="11" t="s">
        <v>311</v>
      </c>
    </row>
    <row r="48" ht="19.5" customHeight="1">
      <c r="A48" s="12" t="s">
        <v>313</v>
      </c>
      <c r="B48" s="13">
        <v>6.0</v>
      </c>
      <c r="C48" s="14" t="s">
        <v>315</v>
      </c>
    </row>
    <row r="49" ht="19.5" customHeight="1">
      <c r="A49" s="8" t="s">
        <v>318</v>
      </c>
      <c r="B49" s="9">
        <v>6.0</v>
      </c>
      <c r="C49" s="11" t="s">
        <v>321</v>
      </c>
    </row>
    <row r="50" ht="19.5" customHeight="1">
      <c r="A50" s="12" t="s">
        <v>131</v>
      </c>
      <c r="B50" s="13">
        <v>5.0</v>
      </c>
      <c r="C50" s="14" t="s">
        <v>326</v>
      </c>
    </row>
    <row r="51" ht="19.5" customHeight="1">
      <c r="A51" s="8" t="s">
        <v>328</v>
      </c>
      <c r="B51" s="9">
        <v>5.0</v>
      </c>
      <c r="C51" s="11" t="s">
        <v>330</v>
      </c>
    </row>
    <row r="52" ht="19.5" customHeight="1">
      <c r="A52" s="8" t="s">
        <v>113</v>
      </c>
      <c r="B52" s="9">
        <v>5.0</v>
      </c>
      <c r="C52" s="11" t="s">
        <v>333</v>
      </c>
    </row>
    <row r="53" ht="19.5" customHeight="1">
      <c r="A53" s="8" t="s">
        <v>338</v>
      </c>
      <c r="B53" s="9">
        <v>5.0</v>
      </c>
      <c r="C53" s="11" t="s">
        <v>339</v>
      </c>
    </row>
    <row r="54" ht="19.5" customHeight="1">
      <c r="A54" s="12" t="s">
        <v>343</v>
      </c>
      <c r="B54" s="13">
        <v>5.0</v>
      </c>
      <c r="C54" s="14" t="s">
        <v>344</v>
      </c>
    </row>
    <row r="55" ht="19.5" customHeight="1">
      <c r="A55" s="12" t="s">
        <v>347</v>
      </c>
      <c r="B55" s="13">
        <v>5.0</v>
      </c>
      <c r="C55" s="14" t="s">
        <v>349</v>
      </c>
    </row>
    <row r="56" ht="19.5" customHeight="1">
      <c r="A56" s="12" t="s">
        <v>352</v>
      </c>
      <c r="B56" s="13">
        <v>5.0</v>
      </c>
      <c r="C56" s="14" t="s">
        <v>355</v>
      </c>
    </row>
    <row r="57" ht="19.5" customHeight="1">
      <c r="A57" s="8" t="s">
        <v>358</v>
      </c>
      <c r="B57" s="9">
        <v>5.0</v>
      </c>
      <c r="C57" s="11" t="s">
        <v>361</v>
      </c>
    </row>
    <row r="58" ht="19.5" customHeight="1">
      <c r="A58" s="12" t="s">
        <v>362</v>
      </c>
      <c r="B58" s="13">
        <v>5.0</v>
      </c>
      <c r="C58" s="14" t="s">
        <v>364</v>
      </c>
    </row>
    <row r="59" ht="19.5" customHeight="1">
      <c r="A59" s="12" t="s">
        <v>367</v>
      </c>
      <c r="B59" s="13">
        <v>5.0</v>
      </c>
      <c r="C59" s="14" t="s">
        <v>370</v>
      </c>
    </row>
    <row r="60" ht="19.5" customHeight="1">
      <c r="A60" s="8" t="s">
        <v>374</v>
      </c>
      <c r="B60" s="9">
        <v>5.0</v>
      </c>
      <c r="C60" s="11" t="s">
        <v>377</v>
      </c>
    </row>
    <row r="61" ht="19.5" customHeight="1">
      <c r="A61" s="15" t="s">
        <v>383</v>
      </c>
      <c r="B61" s="16">
        <f>AVERAGE(B1:B60)</f>
        <v>8.571428571</v>
      </c>
      <c r="C61" s="17"/>
    </row>
    <row r="62" ht="19.5" customHeight="1">
      <c r="A62" s="12" t="s">
        <v>395</v>
      </c>
      <c r="B62" s="13">
        <v>4.0</v>
      </c>
      <c r="C62" s="14" t="s">
        <v>398</v>
      </c>
    </row>
    <row r="63" ht="19.5" customHeight="1">
      <c r="A63" s="12" t="s">
        <v>403</v>
      </c>
      <c r="B63" s="13">
        <v>4.0</v>
      </c>
      <c r="C63" s="14" t="s">
        <v>405</v>
      </c>
    </row>
    <row r="64" ht="19.5" customHeight="1">
      <c r="A64" s="8" t="s">
        <v>409</v>
      </c>
      <c r="B64" s="9">
        <v>4.0</v>
      </c>
      <c r="C64" s="11" t="s">
        <v>411</v>
      </c>
    </row>
    <row r="65" ht="19.5" customHeight="1">
      <c r="A65" s="8" t="s">
        <v>289</v>
      </c>
      <c r="B65" s="9">
        <v>4.0</v>
      </c>
      <c r="C65" s="11" t="s">
        <v>415</v>
      </c>
    </row>
    <row r="66" ht="19.5" customHeight="1">
      <c r="A66" s="12" t="s">
        <v>416</v>
      </c>
      <c r="B66" s="13">
        <v>4.0</v>
      </c>
      <c r="C66" s="14" t="s">
        <v>417</v>
      </c>
    </row>
    <row r="67" ht="19.5" customHeight="1">
      <c r="A67" s="8" t="s">
        <v>419</v>
      </c>
      <c r="B67" s="9">
        <v>4.0</v>
      </c>
      <c r="C67" s="11" t="s">
        <v>422</v>
      </c>
    </row>
    <row r="68" ht="19.5" customHeight="1">
      <c r="A68" s="12" t="s">
        <v>168</v>
      </c>
      <c r="B68" s="13">
        <v>4.0</v>
      </c>
      <c r="C68" s="14" t="s">
        <v>429</v>
      </c>
    </row>
    <row r="69" ht="19.5" customHeight="1">
      <c r="A69" s="12" t="s">
        <v>217</v>
      </c>
      <c r="B69" s="13">
        <v>4.0</v>
      </c>
      <c r="C69" s="14" t="s">
        <v>433</v>
      </c>
    </row>
    <row r="70" ht="19.5" customHeight="1">
      <c r="A70" s="12" t="s">
        <v>437</v>
      </c>
      <c r="B70" s="13">
        <v>4.0</v>
      </c>
      <c r="C70" s="14" t="s">
        <v>438</v>
      </c>
    </row>
    <row r="71" ht="19.5" customHeight="1">
      <c r="A71" s="8" t="s">
        <v>440</v>
      </c>
      <c r="B71" s="9">
        <v>4.0</v>
      </c>
      <c r="C71" s="11" t="s">
        <v>443</v>
      </c>
    </row>
    <row r="72" ht="19.5" customHeight="1">
      <c r="A72" s="12" t="s">
        <v>445</v>
      </c>
      <c r="B72" s="13">
        <v>4.0</v>
      </c>
      <c r="C72" s="14" t="s">
        <v>448</v>
      </c>
    </row>
    <row r="73" ht="19.5" customHeight="1">
      <c r="A73" s="12" t="s">
        <v>452</v>
      </c>
      <c r="B73" s="13">
        <v>4.0</v>
      </c>
      <c r="C73" s="14" t="s">
        <v>453</v>
      </c>
    </row>
    <row r="74" ht="19.5" customHeight="1">
      <c r="A74" s="8" t="s">
        <v>455</v>
      </c>
      <c r="B74" s="9">
        <v>3.0</v>
      </c>
      <c r="C74" s="11" t="s">
        <v>458</v>
      </c>
    </row>
    <row r="75" ht="19.5" customHeight="1">
      <c r="A75" s="12" t="s">
        <v>462</v>
      </c>
      <c r="B75" s="13">
        <v>3.0</v>
      </c>
      <c r="C75" s="14" t="s">
        <v>464</v>
      </c>
    </row>
    <row r="76" ht="19.5" customHeight="1">
      <c r="A76" s="12" t="s">
        <v>459</v>
      </c>
      <c r="B76" s="13">
        <v>3.0</v>
      </c>
      <c r="C76" s="14" t="s">
        <v>469</v>
      </c>
    </row>
    <row r="77" ht="19.5" customHeight="1">
      <c r="A77" s="8" t="s">
        <v>252</v>
      </c>
      <c r="B77" s="9">
        <v>3.0</v>
      </c>
      <c r="C77" s="11" t="s">
        <v>473</v>
      </c>
    </row>
    <row r="78" ht="19.5" customHeight="1">
      <c r="A78" s="8" t="s">
        <v>476</v>
      </c>
      <c r="B78" s="9">
        <v>3.0</v>
      </c>
      <c r="C78" s="11" t="s">
        <v>478</v>
      </c>
    </row>
    <row r="79" ht="19.5" customHeight="1">
      <c r="A79" s="8" t="s">
        <v>481</v>
      </c>
      <c r="B79" s="9">
        <v>3.0</v>
      </c>
      <c r="C79" s="11" t="s">
        <v>484</v>
      </c>
    </row>
    <row r="80" ht="19.5" customHeight="1">
      <c r="A80" s="8" t="s">
        <v>486</v>
      </c>
      <c r="B80" s="9">
        <v>2.0</v>
      </c>
      <c r="C80" s="11" t="s">
        <v>487</v>
      </c>
    </row>
    <row r="81" ht="19.5" customHeight="1">
      <c r="A81" s="12" t="s">
        <v>384</v>
      </c>
      <c r="B81" s="13">
        <v>1.0</v>
      </c>
      <c r="C81" s="14" t="s">
        <v>491</v>
      </c>
    </row>
    <row r="82" ht="19.5" customHeight="1">
      <c r="A82" s="12" t="s">
        <v>494</v>
      </c>
      <c r="B82" s="13">
        <v>1.0</v>
      </c>
      <c r="C82" s="14" t="s">
        <v>497</v>
      </c>
    </row>
    <row r="83" ht="15.75" customHeight="1">
      <c r="A83" s="18" t="s">
        <v>502</v>
      </c>
      <c r="B83" s="19">
        <v>1.0</v>
      </c>
      <c r="C83" s="20" t="s">
        <v>491</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C$82">
    <sortState ref="A4:C82">
      <sortCondition descending="1" ref="B4:B82"/>
    </sortState>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5.0"/>
    <col customWidth="1" min="2" max="3" width="38.0"/>
    <col customWidth="1" min="4" max="5" width="17.86"/>
    <col customWidth="1" min="6" max="6" width="37.43"/>
    <col customWidth="1" min="7" max="7" width="17.86"/>
    <col customWidth="1" min="8" max="26" width="8.86"/>
  </cols>
  <sheetData>
    <row r="1">
      <c r="A1" s="2" t="s">
        <v>1</v>
      </c>
      <c r="B1" s="2"/>
      <c r="C1" s="2"/>
    </row>
    <row r="3" ht="24.0" customHeight="1">
      <c r="A3" s="4" t="s">
        <v>6</v>
      </c>
      <c r="B3" s="4" t="s">
        <v>10</v>
      </c>
      <c r="C3" s="4" t="s">
        <v>12</v>
      </c>
      <c r="D3" s="4" t="s">
        <v>15</v>
      </c>
      <c r="E3" s="4" t="s">
        <v>17</v>
      </c>
      <c r="F3" s="4" t="s">
        <v>19</v>
      </c>
      <c r="G3" s="4" t="s">
        <v>21</v>
      </c>
    </row>
    <row r="4">
      <c r="A4" s="6" t="s">
        <v>25</v>
      </c>
      <c r="B4" s="6" t="s">
        <v>30</v>
      </c>
      <c r="C4" s="6"/>
      <c r="D4" s="1" t="str">
        <f>+VLOOKUP(B4,'Maestro Personas'!$B$7:$C$105,2,0)</f>
        <v>19.300.070-3</v>
      </c>
      <c r="E4" s="1" t="str">
        <f>+VLOOKUP(B4,'Maestro Personas'!$B$7:$W$105,22,0)</f>
        <v>Sandra</v>
      </c>
      <c r="F4" s="1" t="str">
        <f>+VLOOKUP(B4,'Maestro Personas'!$B$7:$G$105,6,0)</f>
        <v>Consultores - Digital</v>
      </c>
    </row>
    <row r="5">
      <c r="A5" s="6" t="s">
        <v>25</v>
      </c>
      <c r="B5" s="6" t="s">
        <v>73</v>
      </c>
      <c r="C5" s="6"/>
      <c r="D5" s="1" t="str">
        <f>+VLOOKUP(B5,'Maestro Personas'!$B$7:$C$105,2,0)</f>
        <v>16.282.327-2</v>
      </c>
      <c r="E5" s="1" t="str">
        <f>+VLOOKUP(B5,'Maestro Personas'!$B$7:$W$105,22,0)</f>
        <v>Jose, JM</v>
      </c>
      <c r="F5" s="1" t="str">
        <f>+VLOOKUP(B5,'Maestro Personas'!$B$7:$G$105,6,0)</f>
        <v>Socio Área Digital</v>
      </c>
    </row>
    <row r="6">
      <c r="A6" s="6" t="s">
        <v>25</v>
      </c>
      <c r="B6" s="6" t="s">
        <v>148</v>
      </c>
      <c r="C6" s="6"/>
      <c r="D6" s="1" t="str">
        <f>+VLOOKUP(B6,'Maestro Personas'!$B$7:$C$105,2,0)</f>
        <v>27.028.873-1</v>
      </c>
      <c r="E6" s="1" t="str">
        <f>+VLOOKUP(B6,'Maestro Personas'!$B$7:$W$105,22,0)</f>
        <v>Ali o Alice</v>
      </c>
      <c r="F6" s="1" t="str">
        <f>+VLOOKUP(B6,'Maestro Personas'!$B$7:$G$105,6,0)</f>
        <v>Consultores Senior - Digital</v>
      </c>
    </row>
    <row r="7">
      <c r="A7" s="6" t="s">
        <v>25</v>
      </c>
      <c r="B7" s="6" t="s">
        <v>66</v>
      </c>
      <c r="C7" s="6"/>
      <c r="D7" s="1" t="str">
        <f>+VLOOKUP(B7,'Maestro Personas'!$B$7:$C$105,2,0)</f>
        <v>10.818.275-k</v>
      </c>
      <c r="E7" s="1" t="str">
        <f>+VLOOKUP(B7,'Maestro Personas'!$B$7:$W$105,22,0)</f>
        <v>Felipe</v>
      </c>
      <c r="F7" s="1" t="str">
        <f>+VLOOKUP(B7,'Maestro Personas'!$B$7:$G$105,6,0)</f>
        <v>Socio</v>
      </c>
    </row>
    <row r="8">
      <c r="A8" s="6" t="s">
        <v>25</v>
      </c>
      <c r="B8" s="6" t="s">
        <v>195</v>
      </c>
      <c r="C8" s="6"/>
      <c r="D8" s="1" t="str">
        <f>+VLOOKUP(B8,'Maestro Personas'!$B$7:$C$105,2,0)</f>
        <v>17.029.247-2</v>
      </c>
      <c r="E8" s="1" t="str">
        <f>+VLOOKUP(B8,'Maestro Personas'!$B$7:$W$105,22,0)</f>
        <v>Felipe</v>
      </c>
      <c r="F8" s="1" t="str">
        <f>+VLOOKUP(B8,'Maestro Personas'!$B$7:$G$105,6,0)</f>
        <v>Consultores - Digital</v>
      </c>
    </row>
    <row r="9">
      <c r="A9" s="6" t="s">
        <v>25</v>
      </c>
      <c r="B9" s="6" t="s">
        <v>252</v>
      </c>
      <c r="C9" s="6"/>
      <c r="D9" s="1" t="str">
        <f>+VLOOKUP(B9,'Maestro Personas'!$B$7:$C$105,2,0)</f>
        <v>19.876.073-0</v>
      </c>
      <c r="E9" s="1" t="str">
        <f>+VLOOKUP(B9,'Maestro Personas'!$B$7:$W$105,22,0)</f>
        <v>Javi</v>
      </c>
      <c r="F9" s="1" t="str">
        <f>+VLOOKUP(B9,'Maestro Personas'!$B$7:$G$105,6,0)</f>
        <v>Consultores Senior - Digital</v>
      </c>
    </row>
    <row r="10">
      <c r="A10" s="6" t="s">
        <v>25</v>
      </c>
      <c r="B10" s="6" t="s">
        <v>289</v>
      </c>
      <c r="C10" s="6"/>
      <c r="D10" s="1" t="str">
        <f>+VLOOKUP(B10,'Maestro Personas'!$B$7:$C$105,2,0)</f>
        <v>20.165.239-1</v>
      </c>
      <c r="E10" s="1" t="str">
        <f>+VLOOKUP(B10,'Maestro Personas'!$B$7:$W$105,22,0)</f>
        <v>Fernanda</v>
      </c>
      <c r="F10" s="1" t="str">
        <f>+VLOOKUP(B10,'Maestro Personas'!$B$7:$G$105,6,0)</f>
        <v>Consultores - Digital</v>
      </c>
    </row>
    <row r="11">
      <c r="A11" s="6" t="s">
        <v>25</v>
      </c>
      <c r="B11" s="6" t="s">
        <v>234</v>
      </c>
      <c r="C11" s="6"/>
      <c r="D11" s="1" t="str">
        <f>+VLOOKUP(B11,'Maestro Personas'!$B$7:$C$105,2,0)</f>
        <v>18.172.756-k</v>
      </c>
      <c r="E11" s="1" t="str">
        <f>+VLOOKUP(B11,'Maestro Personas'!$B$7:$W$105,22,0)</f>
        <v>Bastián</v>
      </c>
      <c r="F11" s="1" t="str">
        <f>+VLOOKUP(B11,'Maestro Personas'!$B$7:$G$105,6,0)</f>
        <v>Consultor/a - Comunicaciones</v>
      </c>
    </row>
    <row r="12">
      <c r="A12" s="6" t="s">
        <v>25</v>
      </c>
      <c r="B12" s="6" t="s">
        <v>171</v>
      </c>
      <c r="C12" s="6"/>
      <c r="D12" s="1" t="str">
        <f>+VLOOKUP(B12,'Maestro Personas'!$B$7:$C$105,2,0)</f>
        <v>18.956.291-8</v>
      </c>
      <c r="E12" s="1" t="str">
        <f>+VLOOKUP(B12,'Maestro Personas'!$B$7:$W$105,22,0)</f>
        <v>Javi</v>
      </c>
      <c r="F12" s="1" t="str">
        <f>+VLOOKUP(B12,'Maestro Personas'!$B$7:$G$105,6,0)</f>
        <v>Ejecutivo/a de Cuentas - Digital</v>
      </c>
    </row>
    <row r="13">
      <c r="A13" s="6" t="s">
        <v>25</v>
      </c>
      <c r="B13" s="6" t="s">
        <v>343</v>
      </c>
      <c r="C13" s="6"/>
      <c r="D13" s="1" t="str">
        <f>+VLOOKUP(B13,'Maestro Personas'!$B$7:$C$105,2,0)</f>
        <v>17.028.885-8</v>
      </c>
      <c r="E13" s="1" t="str">
        <f>+VLOOKUP(B13,'Maestro Personas'!$B$7:$W$105,22,0)</f>
        <v>Mane</v>
      </c>
      <c r="F13" s="1" t="str">
        <f>+VLOOKUP(B13,'Maestro Personas'!$B$7:$G$105,6,0)</f>
        <v>Consultor/a Senior - Comunicaciones</v>
      </c>
    </row>
    <row r="14">
      <c r="A14" s="6" t="s">
        <v>25</v>
      </c>
      <c r="B14" s="6" t="s">
        <v>261</v>
      </c>
      <c r="C14" s="6"/>
      <c r="D14" s="1" t="str">
        <f>+VLOOKUP(B14,'Maestro Personas'!$B$7:$C$105,2,0)</f>
        <v>12.659.237-k</v>
      </c>
      <c r="E14" s="1" t="str">
        <f>+VLOOKUP(B14,'Maestro Personas'!$B$7:$W$105,22,0)</f>
        <v/>
      </c>
      <c r="F14" s="1" t="str">
        <f>+VLOOKUP(B14,'Maestro Personas'!$B$7:$G$105,6,0)</f>
        <v>Director/a Senior - Comunicaciones</v>
      </c>
    </row>
    <row r="15">
      <c r="A15" s="6" t="s">
        <v>25</v>
      </c>
      <c r="B15" s="6" t="s">
        <v>313</v>
      </c>
      <c r="C15" s="6"/>
      <c r="D15" s="1" t="str">
        <f>+VLOOKUP(B15,'Maestro Personas'!$B$7:$C$105,2,0)</f>
        <v>10.321.885-3</v>
      </c>
      <c r="E15" s="1" t="str">
        <f>+VLOOKUP(B15,'Maestro Personas'!$B$7:$W$105,22,0)</f>
        <v>Toño</v>
      </c>
      <c r="F15" s="1" t="str">
        <f>+VLOOKUP(B15,'Maestro Personas'!$B$7:$G$105,6,0)</f>
        <v>Consultores Senior - Digital</v>
      </c>
    </row>
    <row r="16">
      <c r="A16" s="6" t="s">
        <v>25</v>
      </c>
      <c r="B16" s="6" t="s">
        <v>362</v>
      </c>
      <c r="C16" s="6"/>
      <c r="D16" s="1" t="str">
        <f>+VLOOKUP(B16,'Maestro Personas'!$B$7:$C$105,2,0)</f>
        <v>19.960.344-2</v>
      </c>
      <c r="E16" s="1" t="str">
        <f>+VLOOKUP(B16,'Maestro Personas'!$B$7:$W$105,22,0)</f>
        <v>Benjamín</v>
      </c>
      <c r="F16" s="1" t="str">
        <f>+VLOOKUP(B16,'Maestro Personas'!$B$7:$G$105,6,0)</f>
        <v>Consultor/a - Comunicaciones</v>
      </c>
    </row>
    <row r="17">
      <c r="A17" s="6" t="s">
        <v>524</v>
      </c>
      <c r="B17" s="6" t="s">
        <v>66</v>
      </c>
      <c r="C17" s="6"/>
      <c r="D17" s="1" t="str">
        <f>+VLOOKUP(B17,'Maestro Personas'!$B$7:$C$105,2,0)</f>
        <v>10.818.275-k</v>
      </c>
      <c r="E17" s="1" t="str">
        <f>+VLOOKUP(B17,'Maestro Personas'!$B$7:$W$105,22,0)</f>
        <v>Felipe</v>
      </c>
      <c r="F17" s="1" t="str">
        <f>+VLOOKUP(B17,'Maestro Personas'!$B$7:$G$105,6,0)</f>
        <v>Socio</v>
      </c>
    </row>
    <row r="18">
      <c r="A18" s="6" t="s">
        <v>524</v>
      </c>
      <c r="B18" s="6" t="s">
        <v>229</v>
      </c>
      <c r="C18" s="6"/>
      <c r="D18" s="1" t="str">
        <f>+VLOOKUP(B18,'Maestro Personas'!$B$7:$C$105,2,0)</f>
        <v>15.770.775-2</v>
      </c>
      <c r="E18" s="1" t="str">
        <f>+VLOOKUP(B18,'Maestro Personas'!$B$7:$W$105,22,0)</f>
        <v/>
      </c>
      <c r="F18" s="1" t="str">
        <f>+VLOOKUP(B18,'Maestro Personas'!$B$7:$G$105,6,0)</f>
        <v>Director/a - Comunicaciones</v>
      </c>
    </row>
    <row r="19">
      <c r="A19" s="6" t="s">
        <v>571</v>
      </c>
      <c r="B19" s="6" t="s">
        <v>73</v>
      </c>
      <c r="C19" s="6"/>
      <c r="D19" s="1" t="str">
        <f>+VLOOKUP(B19,'Maestro Personas'!$B$7:$C$105,2,0)</f>
        <v>16.282.327-2</v>
      </c>
      <c r="E19" s="1" t="str">
        <f>+VLOOKUP(B19,'Maestro Personas'!$B$7:$W$105,22,0)</f>
        <v>Jose, JM</v>
      </c>
      <c r="F19" s="1" t="str">
        <f>+VLOOKUP(B19,'Maestro Personas'!$B$7:$G$105,6,0)</f>
        <v>Socio Área Digital</v>
      </c>
    </row>
    <row r="20">
      <c r="A20" s="6" t="s">
        <v>571</v>
      </c>
      <c r="B20" s="6" t="s">
        <v>183</v>
      </c>
      <c r="C20" s="6"/>
      <c r="D20" s="1" t="str">
        <f>+VLOOKUP(B20,'Maestro Personas'!$B$7:$C$105,2,0)</f>
        <v>26.054.812-3</v>
      </c>
      <c r="E20" s="1" t="str">
        <f>+VLOOKUP(B20,'Maestro Personas'!$B$7:$W$105,22,0)</f>
        <v>Martín</v>
      </c>
      <c r="F20" s="1" t="str">
        <f>+VLOOKUP(B20,'Maestro Personas'!$B$7:$G$105,6,0)</f>
        <v>Director Senior- Digital</v>
      </c>
    </row>
    <row r="21" ht="15.75" customHeight="1">
      <c r="A21" s="6" t="s">
        <v>571</v>
      </c>
      <c r="B21" s="6" t="s">
        <v>40</v>
      </c>
      <c r="C21" s="6"/>
      <c r="D21" s="1" t="str">
        <f>+VLOOKUP(B21,'Maestro Personas'!$B$7:$C$105,2,0)</f>
        <v>9.766.376-9</v>
      </c>
      <c r="E21" s="1" t="str">
        <f>+VLOOKUP(B21,'Maestro Personas'!$B$7:$W$105,22,0)</f>
        <v>Cristina</v>
      </c>
      <c r="F21" s="1" t="str">
        <f>+VLOOKUP(B21,'Maestro Personas'!$B$7:$G$105,6,0)</f>
        <v>Socio</v>
      </c>
    </row>
    <row r="22" ht="15.75" customHeight="1">
      <c r="A22" s="6" t="s">
        <v>571</v>
      </c>
      <c r="B22" s="6" t="s">
        <v>148</v>
      </c>
      <c r="C22" s="6"/>
      <c r="D22" s="1" t="str">
        <f>+VLOOKUP(B22,'Maestro Personas'!$B$7:$C$105,2,0)</f>
        <v>27.028.873-1</v>
      </c>
      <c r="E22" s="1" t="str">
        <f>+VLOOKUP(B22,'Maestro Personas'!$B$7:$W$105,22,0)</f>
        <v>Ali o Alice</v>
      </c>
      <c r="F22" s="1" t="str">
        <f>+VLOOKUP(B22,'Maestro Personas'!$B$7:$G$105,6,0)</f>
        <v>Consultores Senior - Digital</v>
      </c>
    </row>
    <row r="23" ht="15.75" customHeight="1">
      <c r="A23" s="6" t="s">
        <v>571</v>
      </c>
      <c r="B23" s="6" t="s">
        <v>66</v>
      </c>
      <c r="C23" s="6"/>
      <c r="D23" s="1" t="str">
        <f>+VLOOKUP(B23,'Maestro Personas'!$B$7:$C$105,2,0)</f>
        <v>10.818.275-k</v>
      </c>
      <c r="E23" s="1" t="str">
        <f>+VLOOKUP(B23,'Maestro Personas'!$B$7:$W$105,22,0)</f>
        <v>Felipe</v>
      </c>
      <c r="F23" s="1" t="str">
        <f>+VLOOKUP(B23,'Maestro Personas'!$B$7:$G$105,6,0)</f>
        <v>Socio</v>
      </c>
    </row>
    <row r="24" ht="15.75" customHeight="1">
      <c r="A24" s="6" t="s">
        <v>571</v>
      </c>
      <c r="B24" s="6" t="s">
        <v>195</v>
      </c>
      <c r="C24" s="6"/>
      <c r="D24" s="1" t="str">
        <f>+VLOOKUP(B24,'Maestro Personas'!$B$7:$C$105,2,0)</f>
        <v>17.029.247-2</v>
      </c>
      <c r="E24" s="1" t="str">
        <f>+VLOOKUP(B24,'Maestro Personas'!$B$7:$W$105,22,0)</f>
        <v>Felipe</v>
      </c>
      <c r="F24" s="1" t="str">
        <f>+VLOOKUP(B24,'Maestro Personas'!$B$7:$G$105,6,0)</f>
        <v>Consultores - Digital</v>
      </c>
    </row>
    <row r="25" ht="15.75" customHeight="1">
      <c r="A25" s="6" t="s">
        <v>571</v>
      </c>
      <c r="B25" s="6" t="s">
        <v>304</v>
      </c>
      <c r="C25" s="6"/>
      <c r="D25" s="1" t="str">
        <f>+VLOOKUP(B25,'Maestro Personas'!$B$7:$C$105,2,0)</f>
        <v>17.403.134-7</v>
      </c>
      <c r="E25" s="1" t="str">
        <f>+VLOOKUP(B25,'Maestro Personas'!$B$7:$W$105,22,0)</f>
        <v>Stefano</v>
      </c>
      <c r="F25" s="1" t="str">
        <f>+VLOOKUP(B25,'Maestro Personas'!$B$7:$G$105,6,0)</f>
        <v>Director - Digital</v>
      </c>
    </row>
    <row r="26" ht="15.75" customHeight="1">
      <c r="A26" s="6" t="s">
        <v>571</v>
      </c>
      <c r="B26" s="6" t="s">
        <v>171</v>
      </c>
      <c r="C26" s="6"/>
      <c r="D26" s="1" t="str">
        <f>+VLOOKUP(B26,'Maestro Personas'!$B$7:$C$105,2,0)</f>
        <v>18.956.291-8</v>
      </c>
      <c r="E26" s="1" t="str">
        <f>+VLOOKUP(B26,'Maestro Personas'!$B$7:$W$105,22,0)</f>
        <v>Javi</v>
      </c>
      <c r="F26" s="1" t="str">
        <f>+VLOOKUP(B26,'Maestro Personas'!$B$7:$G$105,6,0)</f>
        <v>Ejecutivo/a de Cuentas - Digital</v>
      </c>
    </row>
    <row r="27" ht="15.75" customHeight="1">
      <c r="A27" s="6" t="s">
        <v>571</v>
      </c>
      <c r="B27" s="6" t="s">
        <v>241</v>
      </c>
      <c r="C27" s="6"/>
      <c r="D27" s="1" t="str">
        <f>+VLOOKUP(B27,'Maestro Personas'!$B$7:$C$105,2,0)</f>
        <v>21.412.373-8</v>
      </c>
      <c r="E27" s="1" t="str">
        <f>+VLOOKUP(B27,'Maestro Personas'!$B$7:$W$105,22,0)</f>
        <v>Fran</v>
      </c>
      <c r="F27" s="1" t="str">
        <f>+VLOOKUP(B27,'Maestro Personas'!$B$7:$G$105,6,0)</f>
        <v>Trainee</v>
      </c>
    </row>
    <row r="28" ht="15.75" customHeight="1">
      <c r="A28" s="6" t="s">
        <v>571</v>
      </c>
      <c r="B28" s="6" t="s">
        <v>347</v>
      </c>
      <c r="C28" s="6"/>
      <c r="D28" s="1" t="str">
        <f>+VLOOKUP(B28,'Maestro Personas'!$B$7:$C$105,2,0)</f>
        <v>20.197.117-9</v>
      </c>
      <c r="E28" s="1" t="str">
        <f>+VLOOKUP(B28,'Maestro Personas'!$B$7:$W$105,22,0)</f>
        <v>Vale</v>
      </c>
      <c r="F28" s="1" t="str">
        <f>+VLOOKUP(B28,'Maestro Personas'!$B$7:$G$105,6,0)</f>
        <v>Ejecutivo/a - Comunicaciones</v>
      </c>
    </row>
    <row r="29" ht="15.75" customHeight="1">
      <c r="A29" s="6" t="s">
        <v>571</v>
      </c>
      <c r="B29" s="6" t="s">
        <v>318</v>
      </c>
      <c r="C29" s="6"/>
      <c r="D29" s="1" t="str">
        <f>+VLOOKUP(B29,'Maestro Personas'!$B$7:$C$105,2,0)</f>
        <v>13.955.054-4</v>
      </c>
      <c r="E29" s="1" t="str">
        <f>+VLOOKUP(B29,'Maestro Personas'!$B$7:$W$105,22,0)</f>
        <v>César</v>
      </c>
      <c r="F29" s="1" t="str">
        <f>+VLOOKUP(B29,'Maestro Personas'!$B$7:$G$105,6,0)</f>
        <v>Director/a Senior - Comunicaciones</v>
      </c>
    </row>
    <row r="30" ht="15.75" customHeight="1">
      <c r="A30" s="6" t="s">
        <v>793</v>
      </c>
      <c r="B30" s="6" t="s">
        <v>160</v>
      </c>
      <c r="C30" s="6"/>
      <c r="D30" s="1" t="str">
        <f>+VLOOKUP(B30,'Maestro Personas'!$B$7:$C$105,2,0)</f>
        <v>17.407.755-k</v>
      </c>
      <c r="E30" s="1" t="str">
        <f>+VLOOKUP(B30,'Maestro Personas'!$B$7:$W$105,22,0)</f>
        <v>Stefano</v>
      </c>
      <c r="F30" s="1" t="str">
        <f>+VLOOKUP(B30,'Maestro Personas'!$B$7:$G$105,6,0)</f>
        <v>Consultor/a Senior - AAPP</v>
      </c>
    </row>
    <row r="31" ht="15.75" customHeight="1">
      <c r="A31" s="6" t="s">
        <v>793</v>
      </c>
      <c r="B31" s="6" t="s">
        <v>40</v>
      </c>
      <c r="C31" s="6"/>
      <c r="D31" s="1" t="str">
        <f>+VLOOKUP(B31,'Maestro Personas'!$B$7:$C$105,2,0)</f>
        <v>9.766.376-9</v>
      </c>
      <c r="E31" s="1" t="str">
        <f>+VLOOKUP(B31,'Maestro Personas'!$B$7:$W$105,22,0)</f>
        <v>Cristina</v>
      </c>
      <c r="F31" s="1" t="str">
        <f>+VLOOKUP(B31,'Maestro Personas'!$B$7:$G$105,6,0)</f>
        <v>Socio</v>
      </c>
    </row>
    <row r="32" ht="15.75" customHeight="1">
      <c r="A32" s="6" t="s">
        <v>793</v>
      </c>
      <c r="B32" s="6" t="s">
        <v>114</v>
      </c>
      <c r="C32" s="6"/>
      <c r="D32" s="1" t="str">
        <f>+VLOOKUP(B32,'Maestro Personas'!$B$7:$C$105,2,0)</f>
        <v>12.019.058-k</v>
      </c>
      <c r="E32" s="1" t="str">
        <f>+VLOOKUP(B32,'Maestro Personas'!$B$7:$W$105,22,0)</f>
        <v/>
      </c>
      <c r="F32" s="1" t="str">
        <f>+VLOOKUP(B32,'Maestro Personas'!$B$7:$G$105,6,0)</f>
        <v>Socio Director</v>
      </c>
    </row>
    <row r="33" ht="15.75" customHeight="1">
      <c r="A33" s="6" t="s">
        <v>793</v>
      </c>
      <c r="B33" s="6" t="s">
        <v>437</v>
      </c>
      <c r="C33" s="6"/>
      <c r="D33" s="1" t="str">
        <f>+VLOOKUP(B33,'Maestro Personas'!$B$7:$C$105,2,0)</f>
        <v>19.246.948-1</v>
      </c>
      <c r="E33" s="1" t="str">
        <f>+VLOOKUP(B33,'Maestro Personas'!$B$7:$W$105,22,0)</f>
        <v>Elisa o Eli</v>
      </c>
      <c r="F33" s="1" t="str">
        <f>+VLOOKUP(B33,'Maestro Personas'!$B$7:$G$105,6,0)</f>
        <v>Ejecutivo/a - Comunicaciones</v>
      </c>
    </row>
    <row r="34" ht="15.75" customHeight="1">
      <c r="A34" s="6" t="s">
        <v>793</v>
      </c>
      <c r="B34" s="6" t="s">
        <v>245</v>
      </c>
      <c r="C34" s="6"/>
      <c r="D34" s="1" t="str">
        <f>+VLOOKUP(B34,'Maestro Personas'!$B$7:$C$105,2,0)</f>
        <v>17.353.392-6</v>
      </c>
      <c r="E34" s="1" t="str">
        <f>+VLOOKUP(B34,'Maestro Personas'!$B$7:$W$105,22,0)</f>
        <v>Taqui</v>
      </c>
      <c r="F34" s="1" t="str">
        <f>+VLOOKUP(B34,'Maestro Personas'!$B$7:$G$105,6,0)</f>
        <v>Consultor/a Senior - Comunicaciones</v>
      </c>
    </row>
    <row r="35" ht="15.75" customHeight="1">
      <c r="A35" s="6" t="s">
        <v>793</v>
      </c>
      <c r="B35" s="6" t="s">
        <v>42</v>
      </c>
      <c r="C35" s="6"/>
      <c r="D35" s="1" t="str">
        <f>+VLOOKUP(B35,'Maestro Personas'!$B$7:$C$105,2,0)</f>
        <v>19.939.876-8</v>
      </c>
      <c r="E35" s="1" t="str">
        <f>+VLOOKUP(B35,'Maestro Personas'!$B$7:$W$105,22,0)</f>
        <v>Caro</v>
      </c>
      <c r="F35" s="1" t="str">
        <f>+VLOOKUP(B35,'Maestro Personas'!$B$7:$G$105,6,0)</f>
        <v>Ejecutivo/a - AAPP</v>
      </c>
    </row>
    <row r="36" ht="15.75" customHeight="1">
      <c r="A36" s="6" t="s">
        <v>793</v>
      </c>
      <c r="B36" s="6" t="s">
        <v>261</v>
      </c>
      <c r="C36" s="6"/>
      <c r="D36" s="1" t="str">
        <f>+VLOOKUP(B36,'Maestro Personas'!$B$7:$C$105,2,0)</f>
        <v>12.659.237-k</v>
      </c>
      <c r="E36" s="1" t="str">
        <f>+VLOOKUP(B36,'Maestro Personas'!$B$7:$W$105,22,0)</f>
        <v/>
      </c>
      <c r="F36" s="1" t="str">
        <f>+VLOOKUP(B36,'Maestro Personas'!$B$7:$G$105,6,0)</f>
        <v>Director/a Senior - Comunicaciones</v>
      </c>
    </row>
    <row r="37" ht="15.75" customHeight="1">
      <c r="A37" s="6" t="s">
        <v>793</v>
      </c>
      <c r="B37" s="6" t="s">
        <v>263</v>
      </c>
      <c r="C37" s="6"/>
      <c r="D37" s="1" t="str">
        <f>+VLOOKUP(B37,'Maestro Personas'!$B$7:$C$105,2,0)</f>
        <v>11.709.203-8</v>
      </c>
      <c r="E37" s="1" t="str">
        <f>+VLOOKUP(B37,'Maestro Personas'!$B$7:$W$105,22,0)</f>
        <v>Claudio</v>
      </c>
      <c r="F37" s="1" t="str">
        <f>+VLOOKUP(B37,'Maestro Personas'!$B$7:$G$105,6,0)</f>
        <v>Consultor/a Senior - AAPP</v>
      </c>
    </row>
    <row r="38" ht="15.75" customHeight="1">
      <c r="A38" s="6" t="s">
        <v>793</v>
      </c>
      <c r="B38" s="6" t="s">
        <v>452</v>
      </c>
      <c r="C38" s="6"/>
      <c r="D38" s="1" t="str">
        <f>+VLOOKUP(B38,'Maestro Personas'!$B$7:$C$105,2,0)</f>
        <v>15.433.915-9</v>
      </c>
      <c r="E38" s="1" t="str">
        <f>+VLOOKUP(B38,'Maestro Personas'!$B$7:$W$105,22,0)</f>
        <v>Mauricio</v>
      </c>
      <c r="F38" s="1" t="str">
        <f>+VLOOKUP(B38,'Maestro Personas'!$B$7:$G$105,6,0)</f>
        <v>Consultor/a Senior - Prensa</v>
      </c>
    </row>
    <row r="39" ht="15.75" customHeight="1">
      <c r="A39" s="6" t="s">
        <v>965</v>
      </c>
      <c r="B39" s="6" t="s">
        <v>459</v>
      </c>
      <c r="C39" s="6"/>
      <c r="D39" s="1" t="str">
        <f>+VLOOKUP(B39,'Maestro Personas'!$B$7:$C$105,2,0)</f>
        <v>17.701.415-k</v>
      </c>
      <c r="E39" s="1" t="str">
        <f>+VLOOKUP(B39,'Maestro Personas'!$B$7:$W$105,22,0)</f>
        <v>Lore</v>
      </c>
      <c r="F39" s="1" t="str">
        <f>+VLOOKUP(B39,'Maestro Personas'!$B$7:$G$105,6,0)</f>
        <v>Consultores Senior - Digital</v>
      </c>
    </row>
    <row r="40" ht="15.75" customHeight="1">
      <c r="A40" s="6" t="s">
        <v>965</v>
      </c>
      <c r="B40" s="6" t="s">
        <v>113</v>
      </c>
      <c r="C40" s="6"/>
      <c r="D40" s="1" t="str">
        <f>+VLOOKUP(B40,'Maestro Personas'!$B$7:$C$105,2,0)</f>
        <v>17.950.016-7</v>
      </c>
      <c r="E40" s="1" t="str">
        <f>+VLOOKUP(B40,'Maestro Personas'!$B$7:$W$105,22,0)</f>
        <v>Dani</v>
      </c>
      <c r="F40" s="1" t="str">
        <f>+VLOOKUP(B40,'Maestro Personas'!$B$7:$G$105,6,0)</f>
        <v>Director/a - AAPP</v>
      </c>
    </row>
    <row r="41" ht="15.75" customHeight="1">
      <c r="A41" s="6" t="s">
        <v>965</v>
      </c>
      <c r="B41" s="6" t="s">
        <v>66</v>
      </c>
      <c r="C41" s="6"/>
      <c r="D41" s="1" t="str">
        <f>+VLOOKUP(B41,'Maestro Personas'!$B$7:$C$105,2,0)</f>
        <v>10.818.275-k</v>
      </c>
      <c r="E41" s="1" t="str">
        <f>+VLOOKUP(B41,'Maestro Personas'!$B$7:$W$105,22,0)</f>
        <v>Felipe</v>
      </c>
      <c r="F41" s="1" t="str">
        <f>+VLOOKUP(B41,'Maestro Personas'!$B$7:$G$105,6,0)</f>
        <v>Socio</v>
      </c>
    </row>
    <row r="42" ht="15.75" customHeight="1">
      <c r="A42" s="6" t="s">
        <v>965</v>
      </c>
      <c r="B42" s="6" t="s">
        <v>213</v>
      </c>
      <c r="C42" s="6"/>
      <c r="D42" s="1" t="str">
        <f>+VLOOKUP(B42,'Maestro Personas'!$B$7:$C$105,2,0)</f>
        <v>19.963.668-5</v>
      </c>
      <c r="E42" s="1" t="str">
        <f>+VLOOKUP(B42,'Maestro Personas'!$B$7:$W$105,22,0)</f>
        <v>Trini</v>
      </c>
      <c r="F42" s="1" t="str">
        <f>+VLOOKUP(B42,'Maestro Personas'!$B$7:$G$105,6,0)</f>
        <v>Ejecutivo/a - Comunicaciones</v>
      </c>
    </row>
    <row r="43" ht="15.75" customHeight="1">
      <c r="A43" s="6" t="s">
        <v>965</v>
      </c>
      <c r="B43" s="6" t="s">
        <v>59</v>
      </c>
      <c r="C43" s="6"/>
      <c r="D43" s="1" t="str">
        <f>+VLOOKUP(B43,'Maestro Personas'!$B$7:$C$105,2,0)</f>
        <v>8.929.175-5</v>
      </c>
      <c r="E43" s="1" t="str">
        <f>+VLOOKUP(B43,'Maestro Personas'!$B$7:$W$105,22,0)</f>
        <v/>
      </c>
      <c r="F43" s="1" t="str">
        <f>+VLOOKUP(B43,'Maestro Personas'!$B$7:$G$105,6,0)</f>
        <v>Socio Director</v>
      </c>
    </row>
    <row r="44" ht="15.75" customHeight="1">
      <c r="A44" s="6" t="s">
        <v>965</v>
      </c>
      <c r="B44" s="6" t="s">
        <v>289</v>
      </c>
      <c r="C44" s="6"/>
      <c r="D44" s="1" t="str">
        <f>+VLOOKUP(B44,'Maestro Personas'!$B$7:$C$105,2,0)</f>
        <v>20.165.239-1</v>
      </c>
      <c r="E44" s="1" t="str">
        <f>+VLOOKUP(B44,'Maestro Personas'!$B$7:$W$105,22,0)</f>
        <v>Fernanda</v>
      </c>
      <c r="F44" s="1" t="str">
        <f>+VLOOKUP(B44,'Maestro Personas'!$B$7:$G$105,6,0)</f>
        <v>Consultores - Digital</v>
      </c>
    </row>
    <row r="45" ht="15.75" customHeight="1">
      <c r="A45" s="6" t="s">
        <v>965</v>
      </c>
      <c r="B45" s="6" t="s">
        <v>416</v>
      </c>
      <c r="C45" s="6"/>
      <c r="D45" s="1" t="str">
        <f>+VLOOKUP(B45,'Maestro Personas'!$B$7:$C$105,2,0)</f>
        <v>15.318.696-0</v>
      </c>
      <c r="E45" s="1" t="str">
        <f>+VLOOKUP(B45,'Maestro Personas'!$B$7:$W$105,22,0)</f>
        <v>Pau</v>
      </c>
      <c r="F45" s="1" t="str">
        <f>+VLOOKUP(B45,'Maestro Personas'!$B$7:$G$105,6,0)</f>
        <v>Director/a Senior - Comunicaciones</v>
      </c>
    </row>
    <row r="46" ht="15.75" customHeight="1">
      <c r="A46" s="6" t="s">
        <v>965</v>
      </c>
      <c r="B46" s="6" t="s">
        <v>304</v>
      </c>
      <c r="C46" s="6"/>
      <c r="D46" s="1" t="str">
        <f>+VLOOKUP(B46,'Maestro Personas'!$B$7:$C$105,2,0)</f>
        <v>17.403.134-7</v>
      </c>
      <c r="E46" s="1" t="str">
        <f>+VLOOKUP(B46,'Maestro Personas'!$B$7:$W$105,22,0)</f>
        <v>Stefano</v>
      </c>
      <c r="F46" s="1" t="str">
        <f>+VLOOKUP(B46,'Maestro Personas'!$B$7:$G$105,6,0)</f>
        <v>Director - Digital</v>
      </c>
    </row>
    <row r="47" ht="15.75" customHeight="1">
      <c r="A47" s="6" t="s">
        <v>965</v>
      </c>
      <c r="B47" s="6" t="s">
        <v>362</v>
      </c>
      <c r="C47" s="6"/>
      <c r="D47" s="1" t="str">
        <f>+VLOOKUP(B47,'Maestro Personas'!$B$7:$C$105,2,0)</f>
        <v>19.960.344-2</v>
      </c>
      <c r="E47" s="1" t="str">
        <f>+VLOOKUP(B47,'Maestro Personas'!$B$7:$W$105,22,0)</f>
        <v>Benjamín</v>
      </c>
      <c r="F47" s="1" t="str">
        <f>+VLOOKUP(B47,'Maestro Personas'!$B$7:$G$105,6,0)</f>
        <v>Consultor/a - Comunicaciones</v>
      </c>
    </row>
    <row r="48" ht="15.75" customHeight="1">
      <c r="A48" s="6" t="s">
        <v>1130</v>
      </c>
      <c r="B48" s="6" t="s">
        <v>395</v>
      </c>
      <c r="C48" s="6"/>
      <c r="D48" s="1" t="str">
        <f>+VLOOKUP(B48,'Maestro Personas'!$B$7:$C$105,2,0)</f>
        <v>18.636.911-4</v>
      </c>
      <c r="E48" s="1" t="str">
        <f>+VLOOKUP(B48,'Maestro Personas'!$B$7:$W$105,22,0)</f>
        <v>Nieves</v>
      </c>
      <c r="F48" s="1" t="str">
        <f>+VLOOKUP(B48,'Maestro Personas'!$B$7:$G$105,6,0)</f>
        <v>Ejecutivo/a - AAPP</v>
      </c>
    </row>
    <row r="49" ht="15.75" customHeight="1">
      <c r="A49" s="6" t="s">
        <v>1130</v>
      </c>
      <c r="B49" s="6" t="s">
        <v>338</v>
      </c>
      <c r="C49" s="6"/>
      <c r="D49" s="1" t="str">
        <f>+VLOOKUP(B49,'Maestro Personas'!$B$7:$C$105,2,0)</f>
        <v>13.253.184-6</v>
      </c>
      <c r="E49" s="1" t="str">
        <f>+VLOOKUP(B49,'Maestro Personas'!$B$7:$W$105,22,0)</f>
        <v/>
      </c>
      <c r="F49" s="1" t="str">
        <f>+VLOOKUP(B49,'Maestro Personas'!$B$7:$G$105,6,0)</f>
        <v>Director de Área de Estudios Sociales y Políticos</v>
      </c>
    </row>
    <row r="50" ht="15.75" customHeight="1">
      <c r="A50" s="6" t="s">
        <v>1132</v>
      </c>
      <c r="B50" s="6" t="s">
        <v>40</v>
      </c>
      <c r="C50" s="6"/>
      <c r="D50" s="1" t="str">
        <f>+VLOOKUP(B50,'Maestro Personas'!$B$7:$C$105,2,0)</f>
        <v>9.766.376-9</v>
      </c>
      <c r="E50" s="1" t="str">
        <f>+VLOOKUP(B50,'Maestro Personas'!$B$7:$W$105,22,0)</f>
        <v>Cristina</v>
      </c>
      <c r="F50" s="1" t="str">
        <f>+VLOOKUP(B50,'Maestro Personas'!$B$7:$G$105,6,0)</f>
        <v>Socio</v>
      </c>
    </row>
    <row r="51" ht="15.75" customHeight="1">
      <c r="A51" s="6" t="s">
        <v>1132</v>
      </c>
      <c r="B51" s="6" t="s">
        <v>127</v>
      </c>
      <c r="C51" s="6"/>
      <c r="D51" s="1" t="str">
        <f>+VLOOKUP(B51,'Maestro Personas'!$B$7:$C$105,2,0)</f>
        <v>20.909.557-2</v>
      </c>
      <c r="E51" s="1" t="str">
        <f>+VLOOKUP(B51,'Maestro Personas'!$B$7:$W$105,22,0)</f>
        <v/>
      </c>
      <c r="F51" s="1" t="str">
        <f>+VLOOKUP(B51,'Maestro Personas'!$B$7:$G$105,6,0)</f>
        <v>Trainee</v>
      </c>
    </row>
    <row r="52" ht="15.75" customHeight="1">
      <c r="A52" s="6" t="s">
        <v>1132</v>
      </c>
      <c r="B52" s="6" t="s">
        <v>131</v>
      </c>
      <c r="C52" s="6"/>
      <c r="D52" s="1" t="str">
        <f>+VLOOKUP(B52,'Maestro Personas'!$B$7:$C$105,2,0)</f>
        <v>19.293.473-7</v>
      </c>
      <c r="E52" s="1" t="str">
        <f>+VLOOKUP(B52,'Maestro Personas'!$B$7:$W$105,22,0)</f>
        <v>Martina</v>
      </c>
      <c r="F52" s="1" t="str">
        <f>+VLOOKUP(B52,'Maestro Personas'!$B$7:$G$105,6,0)</f>
        <v>Consultor/a - Comunicaciones</v>
      </c>
    </row>
    <row r="53" ht="15.75" customHeight="1">
      <c r="A53" s="6" t="s">
        <v>1132</v>
      </c>
      <c r="B53" s="6" t="s">
        <v>328</v>
      </c>
      <c r="C53" s="6"/>
      <c r="D53" s="1" t="str">
        <f>+VLOOKUP(B53,'Maestro Personas'!$B$7:$C$105,2,0)</f>
        <v>19.242.632-4</v>
      </c>
      <c r="E53" s="1" t="str">
        <f>+VLOOKUP(B53,'Maestro Personas'!$B$7:$W$105,22,0)</f>
        <v>Ignacio</v>
      </c>
      <c r="F53" s="1" t="str">
        <f>+VLOOKUP(B53,'Maestro Personas'!$B$7:$G$105,6,0)</f>
        <v>Ejecutivo/a - Comunicaciones</v>
      </c>
    </row>
    <row r="54" ht="15.75" customHeight="1">
      <c r="A54" s="6" t="s">
        <v>1132</v>
      </c>
      <c r="B54" s="6" t="s">
        <v>288</v>
      </c>
      <c r="C54" s="6"/>
      <c r="D54" s="1" t="str">
        <f>+VLOOKUP(B54,'Maestro Personas'!$B$7:$C$105,2,0)</f>
        <v>20.075.913-3</v>
      </c>
      <c r="E54" s="1" t="str">
        <f>+VLOOKUP(B54,'Maestro Personas'!$B$7:$W$105,22,0)</f>
        <v/>
      </c>
      <c r="F54" s="1" t="str">
        <f>+VLOOKUP(B54,'Maestro Personas'!$B$7:$G$105,6,0)</f>
        <v>Ejecutivo/a - Comunicaciones</v>
      </c>
    </row>
    <row r="55" ht="15.75" customHeight="1">
      <c r="A55" s="6" t="s">
        <v>1132</v>
      </c>
      <c r="B55" s="6" t="s">
        <v>294</v>
      </c>
      <c r="C55" s="6"/>
      <c r="D55" s="1" t="str">
        <f>+VLOOKUP(B55,'Maestro Personas'!$B$7:$C$105,2,0)</f>
        <v>10.059.648-2</v>
      </c>
      <c r="E55" s="1" t="str">
        <f>+VLOOKUP(B55,'Maestro Personas'!$B$7:$W$105,22,0)</f>
        <v/>
      </c>
      <c r="F55" s="1" t="str">
        <f>+VLOOKUP(B55,'Maestro Personas'!$B$7:$G$105,6,0)</f>
        <v>Consultor/a Senior - AAPP</v>
      </c>
    </row>
    <row r="56" ht="15.75" customHeight="1">
      <c r="A56" s="6" t="s">
        <v>1132</v>
      </c>
      <c r="B56" s="6" t="s">
        <v>338</v>
      </c>
      <c r="C56" s="6"/>
      <c r="D56" s="1" t="str">
        <f>+VLOOKUP(B56,'Maestro Personas'!$B$7:$C$105,2,0)</f>
        <v>13.253.184-6</v>
      </c>
      <c r="E56" s="1" t="str">
        <f>+VLOOKUP(B56,'Maestro Personas'!$B$7:$W$105,22,0)</f>
        <v/>
      </c>
      <c r="F56" s="1" t="str">
        <f>+VLOOKUP(B56,'Maestro Personas'!$B$7:$G$105,6,0)</f>
        <v>Director de Área de Estudios Sociales y Políticos</v>
      </c>
    </row>
    <row r="57" ht="15.75" customHeight="1">
      <c r="A57" s="6" t="s">
        <v>1132</v>
      </c>
      <c r="B57" s="6" t="s">
        <v>144</v>
      </c>
      <c r="C57" s="6"/>
      <c r="D57" s="1" t="str">
        <f>+VLOOKUP(B57,'Maestro Personas'!$B$7:$C$105,2,0)</f>
        <v>15.341.075-5</v>
      </c>
      <c r="E57" s="1" t="str">
        <f>+VLOOKUP(B57,'Maestro Personas'!$B$7:$W$105,22,0)</f>
        <v>Lisette</v>
      </c>
      <c r="F57" s="1" t="str">
        <f>+VLOOKUP(B57,'Maestro Personas'!$B$7:$G$105,6,0)</f>
        <v>Socio Director</v>
      </c>
    </row>
    <row r="58" ht="15.75" customHeight="1">
      <c r="A58" s="6" t="s">
        <v>1132</v>
      </c>
      <c r="B58" s="6" t="s">
        <v>219</v>
      </c>
      <c r="C58" s="6"/>
      <c r="D58" s="1" t="str">
        <f>+VLOOKUP(B58,'Maestro Personas'!$B$7:$C$105,2,0)</f>
        <v>15.370.192-k</v>
      </c>
      <c r="E58" s="1" t="str">
        <f>+VLOOKUP(B58,'Maestro Personas'!$B$7:$W$105,22,0)</f>
        <v/>
      </c>
      <c r="F58" s="1" t="str">
        <f>+VLOOKUP(B58,'Maestro Personas'!$B$7:$G$105,6,0)</f>
        <v>Director/a - Comunicaciones</v>
      </c>
    </row>
    <row r="59" ht="15.75" customHeight="1">
      <c r="A59" s="6" t="s">
        <v>1132</v>
      </c>
      <c r="B59" s="6" t="s">
        <v>150</v>
      </c>
      <c r="C59" s="6"/>
      <c r="D59" s="1" t="str">
        <f>+VLOOKUP(B59,'Maestro Personas'!$B$7:$C$105,2,0)</f>
        <v>18.588.568-2</v>
      </c>
      <c r="E59" s="1" t="str">
        <f>+VLOOKUP(B59,'Maestro Personas'!$B$7:$W$105,22,0)</f>
        <v>Ana</v>
      </c>
      <c r="F59" s="1" t="str">
        <f>+VLOOKUP(B59,'Maestro Personas'!$B$7:$G$105,6,0)</f>
        <v>Consultor/a - AAPP</v>
      </c>
    </row>
    <row r="60" ht="15.75" customHeight="1">
      <c r="A60" s="6" t="s">
        <v>1132</v>
      </c>
      <c r="B60" s="6" t="s">
        <v>133</v>
      </c>
      <c r="C60" s="6"/>
      <c r="D60" s="1" t="str">
        <f>+VLOOKUP(B60,'Maestro Personas'!$B$7:$C$105,2,0)</f>
        <v>15.959.738-5</v>
      </c>
      <c r="E60" s="1" t="str">
        <f>+VLOOKUP(B60,'Maestro Personas'!$B$7:$W$105,22,0)</f>
        <v>Javi</v>
      </c>
      <c r="F60" s="1" t="str">
        <f>+VLOOKUP(B60,'Maestro Personas'!$B$7:$G$105,6,0)</f>
        <v>Director/a - AAPP</v>
      </c>
    </row>
    <row r="61" ht="15.75" customHeight="1">
      <c r="A61" s="6" t="s">
        <v>1132</v>
      </c>
      <c r="B61" s="6" t="s">
        <v>481</v>
      </c>
      <c r="C61" s="6"/>
      <c r="D61" s="1" t="str">
        <f>+VLOOKUP(B61,'Maestro Personas'!$B$7:$C$105,2,0)</f>
        <v>13.038.126-k</v>
      </c>
      <c r="E61" s="1" t="str">
        <f>+VLOOKUP(B61,'Maestro Personas'!$B$7:$W$105,22,0)</f>
        <v>Sandra</v>
      </c>
      <c r="F61" s="1" t="str">
        <f>+VLOOKUP(B61,'Maestro Personas'!$B$7:$G$105,6,0)</f>
        <v>Consultor/a - Prensa</v>
      </c>
    </row>
    <row r="62" ht="15.75" customHeight="1">
      <c r="A62" s="6" t="s">
        <v>1133</v>
      </c>
      <c r="B62" s="6" t="s">
        <v>455</v>
      </c>
      <c r="C62" s="6"/>
      <c r="D62" s="1" t="str">
        <f>+VLOOKUP(B62,'Maestro Personas'!$B$7:$C$105,2,0)</f>
        <v>17.037.273-5</v>
      </c>
      <c r="E62" s="1" t="str">
        <f>+VLOOKUP(B62,'Maestro Personas'!$B$7:$W$105,22,0)</f>
        <v>Cami</v>
      </c>
      <c r="F62" s="1" t="str">
        <f>+VLOOKUP(B62,'Maestro Personas'!$B$7:$G$105,6,0)</f>
        <v>Consultor/a - Comunicaciones</v>
      </c>
    </row>
    <row r="63" ht="15.75" customHeight="1">
      <c r="A63" s="6" t="s">
        <v>1133</v>
      </c>
      <c r="B63" s="6" t="s">
        <v>40</v>
      </c>
      <c r="C63" s="6"/>
      <c r="D63" s="1" t="str">
        <f>+VLOOKUP(B63,'Maestro Personas'!$B$7:$C$105,2,0)</f>
        <v>9.766.376-9</v>
      </c>
      <c r="E63" s="1" t="str">
        <f>+VLOOKUP(B63,'Maestro Personas'!$B$7:$W$105,22,0)</f>
        <v>Cristina</v>
      </c>
      <c r="F63" s="1" t="str">
        <f>+VLOOKUP(B63,'Maestro Personas'!$B$7:$G$105,6,0)</f>
        <v>Socio</v>
      </c>
    </row>
    <row r="64" ht="15.75" customHeight="1">
      <c r="A64" s="6" t="s">
        <v>1133</v>
      </c>
      <c r="B64" s="6" t="s">
        <v>288</v>
      </c>
      <c r="C64" s="6"/>
      <c r="D64" s="1" t="str">
        <f>+VLOOKUP(B64,'Maestro Personas'!$B$7:$C$105,2,0)</f>
        <v>20.075.913-3</v>
      </c>
      <c r="E64" s="1" t="str">
        <f>+VLOOKUP(B64,'Maestro Personas'!$B$7:$W$105,22,0)</f>
        <v/>
      </c>
      <c r="F64" s="1" t="str">
        <f>+VLOOKUP(B64,'Maestro Personas'!$B$7:$G$105,6,0)</f>
        <v>Ejecutivo/a - Comunicaciones</v>
      </c>
    </row>
    <row r="65" ht="15.75" customHeight="1">
      <c r="A65" s="6" t="s">
        <v>1133</v>
      </c>
      <c r="B65" s="6" t="s">
        <v>199</v>
      </c>
      <c r="C65" s="6"/>
      <c r="D65" s="1" t="str">
        <f>+VLOOKUP(B65,'Maestro Personas'!$B$7:$C$105,2,0)</f>
        <v>12.403.456-6</v>
      </c>
      <c r="E65" s="1" t="str">
        <f>+VLOOKUP(B65,'Maestro Personas'!$B$7:$W$105,22,0)</f>
        <v>Dani</v>
      </c>
      <c r="F65" s="1" t="str">
        <f>+VLOOKUP(B65,'Maestro Personas'!$B$7:$G$105,6,0)</f>
        <v>Socio Director</v>
      </c>
    </row>
    <row r="66" ht="15.75" customHeight="1">
      <c r="A66" s="6" t="s">
        <v>1133</v>
      </c>
      <c r="B66" s="6" t="s">
        <v>229</v>
      </c>
      <c r="C66" s="6"/>
      <c r="D66" s="1" t="str">
        <f>+VLOOKUP(B66,'Maestro Personas'!$B$7:$C$105,2,0)</f>
        <v>15.770.775-2</v>
      </c>
      <c r="E66" s="1" t="str">
        <f>+VLOOKUP(B66,'Maestro Personas'!$B$7:$W$105,22,0)</f>
        <v/>
      </c>
      <c r="F66" s="1" t="str">
        <f>+VLOOKUP(B66,'Maestro Personas'!$B$7:$G$105,6,0)</f>
        <v>Director/a - Comunicaciones</v>
      </c>
    </row>
    <row r="67" ht="15.75" customHeight="1">
      <c r="A67" s="6" t="s">
        <v>1133</v>
      </c>
      <c r="B67" s="6" t="s">
        <v>304</v>
      </c>
      <c r="C67" s="6"/>
      <c r="D67" s="1" t="str">
        <f>+VLOOKUP(B67,'Maestro Personas'!$B$7:$C$105,2,0)</f>
        <v>17.403.134-7</v>
      </c>
      <c r="E67" s="1" t="str">
        <f>+VLOOKUP(B67,'Maestro Personas'!$B$7:$W$105,22,0)</f>
        <v>Stefano</v>
      </c>
      <c r="F67" s="1" t="str">
        <f>+VLOOKUP(B67,'Maestro Personas'!$B$7:$G$105,6,0)</f>
        <v>Director - Digital</v>
      </c>
    </row>
    <row r="68" ht="15.75" customHeight="1">
      <c r="A68" s="6" t="s">
        <v>1133</v>
      </c>
      <c r="B68" s="6" t="s">
        <v>122</v>
      </c>
      <c r="C68" s="6"/>
      <c r="D68" s="1" t="str">
        <f>+VLOOKUP(B68,'Maestro Personas'!$B$7:$C$105,2,0)</f>
        <v>26.965.314-0</v>
      </c>
      <c r="E68" s="1" t="str">
        <f>+VLOOKUP(B68,'Maestro Personas'!$B$7:$W$105,22,0)</f>
        <v>Reimar, Rei</v>
      </c>
      <c r="F68" s="1" t="str">
        <f>+VLOOKUP(B68,'Maestro Personas'!$B$7:$G$105,6,0)</f>
        <v>Ejecutivo/a de Cuentas - Digital</v>
      </c>
    </row>
    <row r="69" ht="15.75" customHeight="1">
      <c r="A69" s="6" t="s">
        <v>1133</v>
      </c>
      <c r="B69" s="6" t="s">
        <v>256</v>
      </c>
      <c r="C69" s="6"/>
      <c r="D69" s="1" t="str">
        <f>+VLOOKUP(B69,'Maestro Personas'!$B$7:$C$105,2,0)</f>
        <v>20.165.428-9</v>
      </c>
      <c r="E69" s="1" t="str">
        <f>+VLOOKUP(B69,'Maestro Personas'!$B$7:$W$105,22,0)</f>
        <v>Jo</v>
      </c>
      <c r="F69" s="1" t="str">
        <f>+VLOOKUP(B69,'Maestro Personas'!$B$7:$G$105,6,0)</f>
        <v>Ejecutivo/a - Comunicaciones</v>
      </c>
    </row>
    <row r="70" ht="15.75" customHeight="1">
      <c r="A70" s="6" t="s">
        <v>1133</v>
      </c>
      <c r="B70" s="6" t="s">
        <v>358</v>
      </c>
      <c r="C70" s="6"/>
      <c r="D70" s="1" t="str">
        <f>+VLOOKUP(B70,'Maestro Personas'!$B$7:$C$105,2,0)</f>
        <v>15.438.937-7</v>
      </c>
      <c r="E70" s="1" t="str">
        <f>+VLOOKUP(B70,'Maestro Personas'!$B$7:$W$105,22,0)</f>
        <v>Juvenal</v>
      </c>
      <c r="F70" s="1" t="str">
        <f>+VLOOKUP(B70,'Maestro Personas'!$B$7:$G$105,6,0)</f>
        <v>Consultores Senior - Digital</v>
      </c>
    </row>
    <row r="71" ht="15.75" customHeight="1">
      <c r="A71" s="6" t="s">
        <v>1133</v>
      </c>
      <c r="B71" s="6" t="s">
        <v>367</v>
      </c>
      <c r="C71" s="6"/>
      <c r="D71" s="1" t="str">
        <f>+VLOOKUP(B71,'Maestro Personas'!$B$7:$C$105,2,0)</f>
        <v>20.833.546-4</v>
      </c>
      <c r="E71" s="1" t="str">
        <f>+VLOOKUP(B71,'Maestro Personas'!$B$7:$W$105,22,0)</f>
        <v>Paula</v>
      </c>
      <c r="F71" s="1" t="str">
        <f>+VLOOKUP(B71,'Maestro Personas'!$B$7:$G$105,6,0)</f>
        <v>Consultores - Digital</v>
      </c>
    </row>
    <row r="72" ht="15.75" customHeight="1">
      <c r="A72" s="6" t="s">
        <v>1133</v>
      </c>
      <c r="B72" s="6" t="s">
        <v>151</v>
      </c>
      <c r="C72" s="6"/>
      <c r="D72" s="1" t="str">
        <f>+VLOOKUP(B72,'Maestro Personas'!$B$7:$C$105,2,0)</f>
        <v>14.533.402-0</v>
      </c>
      <c r="E72" s="1" t="str">
        <f>+VLOOKUP(B72,'Maestro Personas'!$B$7:$W$105,22,0)</f>
        <v>Pablo</v>
      </c>
      <c r="F72" s="1" t="str">
        <f>+VLOOKUP(B72,'Maestro Personas'!$B$7:$G$105,6,0)</f>
        <v>Consultor/a Senior - AAPP</v>
      </c>
    </row>
    <row r="73" ht="15.75" customHeight="1">
      <c r="A73" s="6" t="s">
        <v>1133</v>
      </c>
      <c r="B73" s="6" t="s">
        <v>374</v>
      </c>
      <c r="C73" s="6"/>
      <c r="D73" s="1" t="str">
        <f>+VLOOKUP(B73,'Maestro Personas'!$B$7:$C$105,2,0)</f>
        <v>11.625.604-5</v>
      </c>
      <c r="E73" s="1" t="str">
        <f>+VLOOKUP(B73,'Maestro Personas'!$B$7:$W$105,22,0)</f>
        <v>Carlos</v>
      </c>
      <c r="F73" s="1" t="str">
        <f>+VLOOKUP(B73,'Maestro Personas'!$B$7:$G$105,6,0)</f>
        <v>Director/a Senior - Comunicaciones</v>
      </c>
    </row>
    <row r="74" ht="15.75" customHeight="1">
      <c r="A74" s="6" t="s">
        <v>1134</v>
      </c>
      <c r="B74" s="6" t="s">
        <v>93</v>
      </c>
      <c r="C74" s="6"/>
      <c r="D74" s="1" t="str">
        <f>+VLOOKUP(B74,'Maestro Personas'!$B$7:$C$105,2,0)</f>
        <v>13.529.165-k</v>
      </c>
      <c r="E74" s="1" t="str">
        <f>+VLOOKUP(B74,'Maestro Personas'!$B$7:$W$105,22,0)</f>
        <v>Juan Andrés</v>
      </c>
      <c r="F74" s="1" t="str">
        <f>+VLOOKUP(B74,'Maestro Personas'!$B$7:$G$105,6,0)</f>
        <v>Director/a - AAPP</v>
      </c>
    </row>
    <row r="75" ht="15.75" customHeight="1">
      <c r="A75" s="6" t="s">
        <v>1134</v>
      </c>
      <c r="B75" s="6" t="s">
        <v>40</v>
      </c>
      <c r="C75" s="6"/>
      <c r="D75" s="1" t="str">
        <f>+VLOOKUP(B75,'Maestro Personas'!$B$7:$C$105,2,0)</f>
        <v>9.766.376-9</v>
      </c>
      <c r="E75" s="1" t="str">
        <f>+VLOOKUP(B75,'Maestro Personas'!$B$7:$W$105,22,0)</f>
        <v>Cristina</v>
      </c>
      <c r="F75" s="1" t="str">
        <f>+VLOOKUP(B75,'Maestro Personas'!$B$7:$G$105,6,0)</f>
        <v>Socio</v>
      </c>
    </row>
    <row r="76" ht="15.75" customHeight="1">
      <c r="A76" s="6" t="s">
        <v>1134</v>
      </c>
      <c r="B76" s="6" t="s">
        <v>114</v>
      </c>
      <c r="C76" s="6"/>
      <c r="D76" s="1" t="str">
        <f>+VLOOKUP(B76,'Maestro Personas'!$B$7:$C$105,2,0)</f>
        <v>12.019.058-k</v>
      </c>
      <c r="E76" s="1" t="str">
        <f>+VLOOKUP(B76,'Maestro Personas'!$B$7:$W$105,22,0)</f>
        <v/>
      </c>
      <c r="F76" s="1" t="str">
        <f>+VLOOKUP(B76,'Maestro Personas'!$B$7:$G$105,6,0)</f>
        <v>Socio Director</v>
      </c>
    </row>
    <row r="77" ht="15.75" customHeight="1">
      <c r="A77" s="6" t="s">
        <v>1134</v>
      </c>
      <c r="B77" s="6" t="s">
        <v>234</v>
      </c>
      <c r="C77" s="6"/>
      <c r="D77" s="1" t="str">
        <f>+VLOOKUP(B77,'Maestro Personas'!$B$7:$C$105,2,0)</f>
        <v>18.172.756-k</v>
      </c>
      <c r="E77" s="1" t="str">
        <f>+VLOOKUP(B77,'Maestro Personas'!$B$7:$W$105,22,0)</f>
        <v>Bastián</v>
      </c>
      <c r="F77" s="1" t="str">
        <f>+VLOOKUP(B77,'Maestro Personas'!$B$7:$G$105,6,0)</f>
        <v>Consultor/a - Comunicaciones</v>
      </c>
    </row>
    <row r="78" ht="15.75" customHeight="1">
      <c r="A78" s="6" t="s">
        <v>1134</v>
      </c>
      <c r="B78" s="6" t="s">
        <v>122</v>
      </c>
      <c r="C78" s="6"/>
      <c r="D78" s="1" t="str">
        <f>+VLOOKUP(B78,'Maestro Personas'!$B$7:$C$105,2,0)</f>
        <v>26.965.314-0</v>
      </c>
      <c r="E78" s="1" t="str">
        <f>+VLOOKUP(B78,'Maestro Personas'!$B$7:$W$105,22,0)</f>
        <v>Reimar, Rei</v>
      </c>
      <c r="F78" s="1" t="str">
        <f>+VLOOKUP(B78,'Maestro Personas'!$B$7:$G$105,6,0)</f>
        <v>Ejecutivo/a de Cuentas - Digital</v>
      </c>
    </row>
    <row r="79" ht="15.75" customHeight="1">
      <c r="A79" s="6" t="s">
        <v>1134</v>
      </c>
      <c r="B79" s="6" t="s">
        <v>313</v>
      </c>
      <c r="C79" s="6"/>
      <c r="D79" s="1" t="str">
        <f>+VLOOKUP(B79,'Maestro Personas'!$B$7:$C$105,2,0)</f>
        <v>10.321.885-3</v>
      </c>
      <c r="E79" s="1" t="str">
        <f>+VLOOKUP(B79,'Maestro Personas'!$B$7:$W$105,22,0)</f>
        <v>Toño</v>
      </c>
      <c r="F79" s="1" t="str">
        <f>+VLOOKUP(B79,'Maestro Personas'!$B$7:$G$105,6,0)</f>
        <v>Consultores Senior - Digital</v>
      </c>
    </row>
    <row r="80" ht="15.75" customHeight="1">
      <c r="A80" s="6" t="s">
        <v>1134</v>
      </c>
      <c r="B80" s="6" t="s">
        <v>367</v>
      </c>
      <c r="C80" s="6"/>
      <c r="D80" s="1" t="str">
        <f>+VLOOKUP(B80,'Maestro Personas'!$B$7:$C$105,2,0)</f>
        <v>20.833.546-4</v>
      </c>
      <c r="E80" s="1" t="str">
        <f>+VLOOKUP(B80,'Maestro Personas'!$B$7:$W$105,22,0)</f>
        <v>Paula</v>
      </c>
      <c r="F80" s="1" t="str">
        <f>+VLOOKUP(B80,'Maestro Personas'!$B$7:$G$105,6,0)</f>
        <v>Consultores - Digital</v>
      </c>
    </row>
    <row r="81" ht="15.75" customHeight="1">
      <c r="A81" s="6" t="s">
        <v>1134</v>
      </c>
      <c r="B81" s="6" t="s">
        <v>374</v>
      </c>
      <c r="C81" s="6"/>
      <c r="D81" s="1" t="str">
        <f>+VLOOKUP(B81,'Maestro Personas'!$B$7:$C$105,2,0)</f>
        <v>11.625.604-5</v>
      </c>
      <c r="E81" s="1" t="str">
        <f>+VLOOKUP(B81,'Maestro Personas'!$B$7:$W$105,22,0)</f>
        <v>Carlos</v>
      </c>
      <c r="F81" s="1" t="str">
        <f>+VLOOKUP(B81,'Maestro Personas'!$B$7:$G$105,6,0)</f>
        <v>Director/a Senior - Comunicaciones</v>
      </c>
    </row>
    <row r="82" ht="15.75" customHeight="1">
      <c r="A82" s="6" t="s">
        <v>1135</v>
      </c>
      <c r="B82" s="6" t="s">
        <v>486</v>
      </c>
      <c r="C82" s="6"/>
      <c r="D82" s="1" t="str">
        <f>+VLOOKUP(B82,'Maestro Personas'!$B$7:$C$105,2,0)</f>
        <v>12.234.918-7</v>
      </c>
      <c r="E82" s="1" t="str">
        <f>+VLOOKUP(B82,'Maestro Personas'!$B$7:$W$105,22,0)</f>
        <v>Kati</v>
      </c>
      <c r="F82" s="1" t="str">
        <f>+VLOOKUP(B82,'Maestro Personas'!$B$7:$G$105,6,0)</f>
        <v>Director/a - Prensa</v>
      </c>
    </row>
    <row r="83" ht="15.75" customHeight="1">
      <c r="A83" s="6" t="s">
        <v>1135</v>
      </c>
      <c r="B83" s="6" t="s">
        <v>66</v>
      </c>
      <c r="C83" s="6"/>
      <c r="D83" s="1" t="str">
        <f>+VLOOKUP(B83,'Maestro Personas'!$B$7:$C$105,2,0)</f>
        <v>10.818.275-k</v>
      </c>
      <c r="E83" s="1" t="str">
        <f>+VLOOKUP(B83,'Maestro Personas'!$B$7:$W$105,22,0)</f>
        <v>Felipe</v>
      </c>
      <c r="F83" s="1" t="str">
        <f>+VLOOKUP(B83,'Maestro Personas'!$B$7:$G$105,6,0)</f>
        <v>Socio</v>
      </c>
    </row>
    <row r="84" ht="15.75" customHeight="1">
      <c r="A84" s="6" t="s">
        <v>1136</v>
      </c>
      <c r="B84" s="6" t="s">
        <v>40</v>
      </c>
      <c r="C84" s="6"/>
      <c r="D84" s="1" t="str">
        <f>+VLOOKUP(B84,'Maestro Personas'!$B$7:$C$105,2,0)</f>
        <v>9.766.376-9</v>
      </c>
      <c r="E84" s="1" t="str">
        <f>+VLOOKUP(B84,'Maestro Personas'!$B$7:$W$105,22,0)</f>
        <v>Cristina</v>
      </c>
      <c r="F84" s="1" t="str">
        <f>+VLOOKUP(B84,'Maestro Personas'!$B$7:$G$105,6,0)</f>
        <v>Socio</v>
      </c>
    </row>
    <row r="85" ht="15.75" customHeight="1">
      <c r="A85" s="6" t="s">
        <v>1136</v>
      </c>
      <c r="B85" s="6" t="s">
        <v>114</v>
      </c>
      <c r="C85" s="6"/>
      <c r="D85" s="1" t="str">
        <f>+VLOOKUP(B85,'Maestro Personas'!$B$7:$C$105,2,0)</f>
        <v>12.019.058-k</v>
      </c>
      <c r="E85" s="1" t="str">
        <f>+VLOOKUP(B85,'Maestro Personas'!$B$7:$W$105,22,0)</f>
        <v/>
      </c>
      <c r="F85" s="1" t="str">
        <f>+VLOOKUP(B85,'Maestro Personas'!$B$7:$G$105,6,0)</f>
        <v>Socio Director</v>
      </c>
    </row>
    <row r="86" ht="15.75" customHeight="1">
      <c r="A86" s="6" t="s">
        <v>1136</v>
      </c>
      <c r="B86" s="6" t="s">
        <v>225</v>
      </c>
      <c r="C86" s="6"/>
      <c r="D86" s="1" t="str">
        <f>+VLOOKUP(B86,'Maestro Personas'!$B$7:$C$105,2,0)</f>
        <v>20.783.188-3</v>
      </c>
      <c r="E86" s="1" t="str">
        <f>+VLOOKUP(B86,'Maestro Personas'!$B$7:$W$105,22,0)</f>
        <v>Belén</v>
      </c>
      <c r="F86" s="1" t="str">
        <f>+VLOOKUP(B86,'Maestro Personas'!$B$7:$G$105,6,0)</f>
        <v>Ejecutivo/a - Comunicaciones</v>
      </c>
    </row>
    <row r="87" ht="15.75" customHeight="1">
      <c r="A87" s="6" t="s">
        <v>1136</v>
      </c>
      <c r="B87" s="6" t="s">
        <v>263</v>
      </c>
      <c r="C87" s="6"/>
      <c r="D87" s="1" t="str">
        <f>+VLOOKUP(B87,'Maestro Personas'!$B$7:$C$105,2,0)</f>
        <v>11.709.203-8</v>
      </c>
      <c r="E87" s="1" t="str">
        <f>+VLOOKUP(B87,'Maestro Personas'!$B$7:$W$105,22,0)</f>
        <v>Claudio</v>
      </c>
      <c r="F87" s="1" t="str">
        <f>+VLOOKUP(B87,'Maestro Personas'!$B$7:$G$105,6,0)</f>
        <v>Consultor/a Senior - AAPP</v>
      </c>
    </row>
    <row r="88" ht="15.75" customHeight="1">
      <c r="A88" s="6" t="s">
        <v>1136</v>
      </c>
      <c r="B88" s="6" t="s">
        <v>452</v>
      </c>
      <c r="C88" s="6"/>
      <c r="D88" s="1" t="str">
        <f>+VLOOKUP(B88,'Maestro Personas'!$B$7:$C$105,2,0)</f>
        <v>15.433.915-9</v>
      </c>
      <c r="E88" s="1" t="str">
        <f>+VLOOKUP(B88,'Maestro Personas'!$B$7:$W$105,22,0)</f>
        <v>Mauricio</v>
      </c>
      <c r="F88" s="1" t="str">
        <f>+VLOOKUP(B88,'Maestro Personas'!$B$7:$G$105,6,0)</f>
        <v>Consultor/a Senior - Prensa</v>
      </c>
    </row>
    <row r="89" ht="15.75" customHeight="1">
      <c r="A89" s="6" t="s">
        <v>1136</v>
      </c>
      <c r="B89" s="6" t="s">
        <v>318</v>
      </c>
      <c r="C89" s="6"/>
      <c r="D89" s="1" t="str">
        <f>+VLOOKUP(B89,'Maestro Personas'!$B$7:$C$105,2,0)</f>
        <v>13.955.054-4</v>
      </c>
      <c r="E89" s="1" t="str">
        <f>+VLOOKUP(B89,'Maestro Personas'!$B$7:$W$105,22,0)</f>
        <v>César</v>
      </c>
      <c r="F89" s="1" t="str">
        <f>+VLOOKUP(B89,'Maestro Personas'!$B$7:$G$105,6,0)</f>
        <v>Director/a Senior - Comunicaciones</v>
      </c>
    </row>
    <row r="90" ht="15.75" customHeight="1">
      <c r="A90" s="6" t="s">
        <v>1137</v>
      </c>
      <c r="B90" s="6" t="s">
        <v>93</v>
      </c>
      <c r="C90" s="6"/>
      <c r="D90" s="1" t="str">
        <f>+VLOOKUP(B90,'Maestro Personas'!$B$7:$C$105,2,0)</f>
        <v>13.529.165-k</v>
      </c>
      <c r="E90" s="1" t="str">
        <f>+VLOOKUP(B90,'Maestro Personas'!$B$7:$W$105,22,0)</f>
        <v>Juan Andrés</v>
      </c>
      <c r="F90" s="1" t="str">
        <f>+VLOOKUP(B90,'Maestro Personas'!$B$7:$G$105,6,0)</f>
        <v>Director/a - AAPP</v>
      </c>
    </row>
    <row r="91" ht="15.75" customHeight="1">
      <c r="A91" s="6" t="s">
        <v>1137</v>
      </c>
      <c r="B91" s="6" t="s">
        <v>40</v>
      </c>
      <c r="C91" s="6"/>
      <c r="D91" s="1" t="str">
        <f>+VLOOKUP(B91,'Maestro Personas'!$B$7:$C$105,2,0)</f>
        <v>9.766.376-9</v>
      </c>
      <c r="E91" s="1" t="str">
        <f>+VLOOKUP(B91,'Maestro Personas'!$B$7:$W$105,22,0)</f>
        <v>Cristina</v>
      </c>
      <c r="F91" s="1" t="str">
        <f>+VLOOKUP(B91,'Maestro Personas'!$B$7:$G$105,6,0)</f>
        <v>Socio</v>
      </c>
    </row>
    <row r="92" ht="15.75" customHeight="1">
      <c r="A92" s="6" t="s">
        <v>1137</v>
      </c>
      <c r="B92" s="6" t="s">
        <v>83</v>
      </c>
      <c r="C92" s="6"/>
      <c r="D92" s="1" t="str">
        <f>+VLOOKUP(B92,'Maestro Personas'!$B$7:$C$105,2,0)</f>
        <v>14.045.482-6</v>
      </c>
      <c r="E92" s="1" t="str">
        <f>+VLOOKUP(B92,'Maestro Personas'!$B$7:$W$105,22,0)</f>
        <v>Ian</v>
      </c>
      <c r="F92" s="1" t="str">
        <f>+VLOOKUP(B92,'Maestro Personas'!$B$7:$G$105,6,0)</f>
        <v>Socio Director</v>
      </c>
    </row>
    <row r="93" ht="15.75" customHeight="1">
      <c r="A93" s="6" t="s">
        <v>1138</v>
      </c>
      <c r="B93" s="6" t="s">
        <v>279</v>
      </c>
      <c r="C93" s="6"/>
      <c r="D93" s="1" t="str">
        <f>+VLOOKUP(B93,'Maestro Personas'!$B$7:$C$105,2,0)</f>
        <v>8.510.437-3</v>
      </c>
      <c r="E93" s="1" t="str">
        <f>+VLOOKUP(B93,'Maestro Personas'!$B$7:$W$105,22,0)</f>
        <v>Pablo</v>
      </c>
      <c r="F93" s="1" t="str">
        <f>+VLOOKUP(B93,'Maestro Personas'!$B$7:$G$105,6,0)</f>
        <v>Consultor/a Senior - Comunicaciones</v>
      </c>
    </row>
    <row r="94" ht="15.75" customHeight="1">
      <c r="A94" s="6" t="s">
        <v>1138</v>
      </c>
      <c r="B94" s="6" t="s">
        <v>144</v>
      </c>
      <c r="C94" s="6"/>
      <c r="D94" s="1" t="str">
        <f>+VLOOKUP(B94,'Maestro Personas'!$B$7:$C$105,2,0)</f>
        <v>15.341.075-5</v>
      </c>
      <c r="E94" s="1" t="str">
        <f>+VLOOKUP(B94,'Maestro Personas'!$B$7:$W$105,22,0)</f>
        <v>Lisette</v>
      </c>
      <c r="F94" s="1" t="str">
        <f>+VLOOKUP(B94,'Maestro Personas'!$B$7:$G$105,6,0)</f>
        <v>Socio Director</v>
      </c>
    </row>
    <row r="95" ht="15.75" customHeight="1">
      <c r="A95" s="6" t="s">
        <v>1138</v>
      </c>
      <c r="B95" s="6" t="s">
        <v>151</v>
      </c>
      <c r="C95" s="6"/>
      <c r="D95" s="1" t="str">
        <f>+VLOOKUP(B95,'Maestro Personas'!$B$7:$C$105,2,0)</f>
        <v>14.533.402-0</v>
      </c>
      <c r="E95" s="1" t="str">
        <f>+VLOOKUP(B95,'Maestro Personas'!$B$7:$W$105,22,0)</f>
        <v>Pablo</v>
      </c>
      <c r="F95" s="1" t="str">
        <f>+VLOOKUP(B95,'Maestro Personas'!$B$7:$G$105,6,0)</f>
        <v>Consultor/a Senior - AAPP</v>
      </c>
    </row>
    <row r="96" ht="15.75" customHeight="1">
      <c r="A96" s="6" t="s">
        <v>1139</v>
      </c>
      <c r="B96" s="6" t="s">
        <v>73</v>
      </c>
      <c r="C96" s="6"/>
      <c r="D96" s="1" t="str">
        <f>+VLOOKUP(B96,'Maestro Personas'!$B$7:$C$105,2,0)</f>
        <v>16.282.327-2</v>
      </c>
      <c r="E96" s="1" t="str">
        <f>+VLOOKUP(B96,'Maestro Personas'!$B$7:$W$105,22,0)</f>
        <v>Jose, JM</v>
      </c>
      <c r="F96" s="1" t="str">
        <f>+VLOOKUP(B96,'Maestro Personas'!$B$7:$G$105,6,0)</f>
        <v>Socio Área Digital</v>
      </c>
    </row>
    <row r="97" ht="15.75" customHeight="1">
      <c r="A97" s="6" t="s">
        <v>1139</v>
      </c>
      <c r="B97" s="6" t="s">
        <v>66</v>
      </c>
      <c r="C97" s="6"/>
      <c r="D97" s="1" t="str">
        <f>+VLOOKUP(B97,'Maestro Personas'!$B$7:$C$105,2,0)</f>
        <v>10.818.275-k</v>
      </c>
      <c r="E97" s="1" t="str">
        <f>+VLOOKUP(B97,'Maestro Personas'!$B$7:$W$105,22,0)</f>
        <v>Felipe</v>
      </c>
      <c r="F97" s="1" t="str">
        <f>+VLOOKUP(B97,'Maestro Personas'!$B$7:$G$105,6,0)</f>
        <v>Socio</v>
      </c>
    </row>
    <row r="98" ht="15.75" customHeight="1">
      <c r="A98" s="6" t="s">
        <v>1139</v>
      </c>
      <c r="B98" s="6" t="s">
        <v>114</v>
      </c>
      <c r="C98" s="6"/>
      <c r="D98" s="1" t="str">
        <f>+VLOOKUP(B98,'Maestro Personas'!$B$7:$C$105,2,0)</f>
        <v>12.019.058-k</v>
      </c>
      <c r="E98" s="1" t="str">
        <f>+VLOOKUP(B98,'Maestro Personas'!$B$7:$W$105,22,0)</f>
        <v/>
      </c>
      <c r="F98" s="1" t="str">
        <f>+VLOOKUP(B98,'Maestro Personas'!$B$7:$G$105,6,0)</f>
        <v>Socio Director</v>
      </c>
    </row>
    <row r="99" ht="15.75" customHeight="1">
      <c r="A99" s="6" t="s">
        <v>1139</v>
      </c>
      <c r="B99" s="6" t="s">
        <v>219</v>
      </c>
      <c r="C99" s="6"/>
      <c r="D99" s="1" t="str">
        <f>+VLOOKUP(B99,'Maestro Personas'!$B$7:$C$105,2,0)</f>
        <v>15.370.192-k</v>
      </c>
      <c r="E99" s="1" t="str">
        <f>+VLOOKUP(B99,'Maestro Personas'!$B$7:$W$105,22,0)</f>
        <v/>
      </c>
      <c r="F99" s="1" t="str">
        <f>+VLOOKUP(B99,'Maestro Personas'!$B$7:$G$105,6,0)</f>
        <v>Director/a - Comunicaciones</v>
      </c>
    </row>
    <row r="100" ht="15.75" customHeight="1">
      <c r="A100" s="6" t="s">
        <v>1140</v>
      </c>
      <c r="B100" s="6" t="s">
        <v>93</v>
      </c>
      <c r="C100" s="6"/>
      <c r="D100" s="1" t="str">
        <f>+VLOOKUP(B100,'Maestro Personas'!$B$7:$C$105,2,0)</f>
        <v>13.529.165-k</v>
      </c>
      <c r="E100" s="1" t="str">
        <f>+VLOOKUP(B100,'Maestro Personas'!$B$7:$W$105,22,0)</f>
        <v>Juan Andrés</v>
      </c>
      <c r="F100" s="1" t="str">
        <f>+VLOOKUP(B100,'Maestro Personas'!$B$7:$G$105,6,0)</f>
        <v>Director/a - AAPP</v>
      </c>
    </row>
    <row r="101" ht="15.75" customHeight="1">
      <c r="A101" s="6" t="s">
        <v>1140</v>
      </c>
      <c r="B101" s="6" t="s">
        <v>73</v>
      </c>
      <c r="C101" s="6"/>
      <c r="D101" s="1" t="str">
        <f>+VLOOKUP(B101,'Maestro Personas'!$B$7:$C$105,2,0)</f>
        <v>16.282.327-2</v>
      </c>
      <c r="E101" s="1" t="str">
        <f>+VLOOKUP(B101,'Maestro Personas'!$B$7:$W$105,22,0)</f>
        <v>Jose, JM</v>
      </c>
      <c r="F101" s="1" t="str">
        <f>+VLOOKUP(B101,'Maestro Personas'!$B$7:$G$105,6,0)</f>
        <v>Socio Área Digital</v>
      </c>
    </row>
    <row r="102" ht="15.75" customHeight="1">
      <c r="A102" s="6" t="s">
        <v>1140</v>
      </c>
      <c r="B102" s="6" t="s">
        <v>183</v>
      </c>
      <c r="C102" s="6"/>
      <c r="D102" s="1" t="str">
        <f>+VLOOKUP(B102,'Maestro Personas'!$B$7:$C$105,2,0)</f>
        <v>26.054.812-3</v>
      </c>
      <c r="E102" s="1" t="str">
        <f>+VLOOKUP(B102,'Maestro Personas'!$B$7:$W$105,22,0)</f>
        <v>Martín</v>
      </c>
      <c r="F102" s="1" t="str">
        <f>+VLOOKUP(B102,'Maestro Personas'!$B$7:$G$105,6,0)</f>
        <v>Director Senior- Digital</v>
      </c>
    </row>
    <row r="103" ht="15.75" customHeight="1">
      <c r="A103" s="6" t="s">
        <v>1140</v>
      </c>
      <c r="B103" s="6" t="s">
        <v>409</v>
      </c>
      <c r="C103" s="6"/>
      <c r="D103" s="1" t="str">
        <f>+VLOOKUP(B103,'Maestro Personas'!$B$7:$C$105,2,0)</f>
        <v>28.759.573-5</v>
      </c>
      <c r="E103" s="1" t="str">
        <f>+VLOOKUP(B103,'Maestro Personas'!$B$7:$W$105,22,0)</f>
        <v>Irene</v>
      </c>
      <c r="F103" s="1" t="str">
        <f>+VLOOKUP(B103,'Maestro Personas'!$B$7:$G$105,6,0)</f>
        <v>Consultor/a Senior - Comunicaciones</v>
      </c>
    </row>
    <row r="104" ht="15.75" customHeight="1">
      <c r="A104" s="6" t="s">
        <v>1140</v>
      </c>
      <c r="B104" s="6" t="s">
        <v>148</v>
      </c>
      <c r="C104" s="6"/>
      <c r="D104" s="1" t="str">
        <f>+VLOOKUP(B104,'Maestro Personas'!$B$7:$C$105,2,0)</f>
        <v>27.028.873-1</v>
      </c>
      <c r="E104" s="1" t="str">
        <f>+VLOOKUP(B104,'Maestro Personas'!$B$7:$W$105,22,0)</f>
        <v>Ali o Alice</v>
      </c>
      <c r="F104" s="1" t="str">
        <f>+VLOOKUP(B104,'Maestro Personas'!$B$7:$G$105,6,0)</f>
        <v>Consultores Senior - Digital</v>
      </c>
    </row>
    <row r="105" ht="15.75" customHeight="1">
      <c r="A105" s="6" t="s">
        <v>1140</v>
      </c>
      <c r="B105" s="6" t="s">
        <v>195</v>
      </c>
      <c r="C105" s="6"/>
      <c r="D105" s="1" t="str">
        <f>+VLOOKUP(B105,'Maestro Personas'!$B$7:$C$105,2,0)</f>
        <v>17.029.247-2</v>
      </c>
      <c r="E105" s="1" t="str">
        <f>+VLOOKUP(B105,'Maestro Personas'!$B$7:$W$105,22,0)</f>
        <v>Felipe</v>
      </c>
      <c r="F105" s="1" t="str">
        <f>+VLOOKUP(B105,'Maestro Personas'!$B$7:$G$105,6,0)</f>
        <v>Consultores - Digital</v>
      </c>
    </row>
    <row r="106" ht="15.75" customHeight="1">
      <c r="A106" s="6" t="s">
        <v>1140</v>
      </c>
      <c r="B106" s="6" t="s">
        <v>199</v>
      </c>
      <c r="C106" s="6"/>
      <c r="D106" s="1" t="str">
        <f>+VLOOKUP(B106,'Maestro Personas'!$B$7:$C$105,2,0)</f>
        <v>12.403.456-6</v>
      </c>
      <c r="E106" s="1" t="str">
        <f>+VLOOKUP(B106,'Maestro Personas'!$B$7:$W$105,22,0)</f>
        <v>Dani</v>
      </c>
      <c r="F106" s="1" t="str">
        <f>+VLOOKUP(B106,'Maestro Personas'!$B$7:$G$105,6,0)</f>
        <v>Socio Director</v>
      </c>
    </row>
    <row r="107" ht="15.75" customHeight="1">
      <c r="A107" s="6" t="s">
        <v>1140</v>
      </c>
      <c r="B107" s="6" t="s">
        <v>304</v>
      </c>
      <c r="C107" s="6"/>
      <c r="D107" s="1" t="str">
        <f>+VLOOKUP(B107,'Maestro Personas'!$B$7:$C$105,2,0)</f>
        <v>17.403.134-7</v>
      </c>
      <c r="E107" s="1" t="str">
        <f>+VLOOKUP(B107,'Maestro Personas'!$B$7:$W$105,22,0)</f>
        <v>Stefano</v>
      </c>
      <c r="F107" s="1" t="str">
        <f>+VLOOKUP(B107,'Maestro Personas'!$B$7:$G$105,6,0)</f>
        <v>Director - Digital</v>
      </c>
    </row>
    <row r="108" ht="15.75" customHeight="1">
      <c r="A108" s="6" t="s">
        <v>1140</v>
      </c>
      <c r="B108" s="6" t="s">
        <v>171</v>
      </c>
      <c r="C108" s="6"/>
      <c r="D108" s="1" t="str">
        <f>+VLOOKUP(B108,'Maestro Personas'!$B$7:$C$105,2,0)</f>
        <v>18.956.291-8</v>
      </c>
      <c r="E108" s="1" t="str">
        <f>+VLOOKUP(B108,'Maestro Personas'!$B$7:$W$105,22,0)</f>
        <v>Javi</v>
      </c>
      <c r="F108" s="1" t="str">
        <f>+VLOOKUP(B108,'Maestro Personas'!$B$7:$G$105,6,0)</f>
        <v>Ejecutivo/a de Cuentas - Digital</v>
      </c>
    </row>
    <row r="109" ht="15.75" customHeight="1">
      <c r="A109" s="6" t="s">
        <v>1140</v>
      </c>
      <c r="B109" s="6" t="s">
        <v>261</v>
      </c>
      <c r="C109" s="6"/>
      <c r="D109" s="1" t="str">
        <f>+VLOOKUP(B109,'Maestro Personas'!$B$7:$C$105,2,0)</f>
        <v>12.659.237-k</v>
      </c>
      <c r="E109" s="1" t="str">
        <f>+VLOOKUP(B109,'Maestro Personas'!$B$7:$W$105,22,0)</f>
        <v/>
      </c>
      <c r="F109" s="1" t="str">
        <f>+VLOOKUP(B109,'Maestro Personas'!$B$7:$G$105,6,0)</f>
        <v>Director/a Senior - Comunicaciones</v>
      </c>
    </row>
    <row r="110" ht="15.75" customHeight="1">
      <c r="A110" s="6" t="s">
        <v>1140</v>
      </c>
      <c r="B110" s="6" t="s">
        <v>313</v>
      </c>
      <c r="C110" s="6"/>
      <c r="D110" s="1" t="str">
        <f>+VLOOKUP(B110,'Maestro Personas'!$B$7:$C$105,2,0)</f>
        <v>10.321.885-3</v>
      </c>
      <c r="E110" s="1" t="str">
        <f>+VLOOKUP(B110,'Maestro Personas'!$B$7:$W$105,22,0)</f>
        <v>Toño</v>
      </c>
      <c r="F110" s="1" t="str">
        <f>+VLOOKUP(B110,'Maestro Personas'!$B$7:$G$105,6,0)</f>
        <v>Consultores Senior - Digital</v>
      </c>
    </row>
    <row r="111" ht="15.75" customHeight="1">
      <c r="A111" s="6" t="s">
        <v>1141</v>
      </c>
      <c r="B111" s="6" t="s">
        <v>40</v>
      </c>
      <c r="C111" s="6"/>
      <c r="D111" s="1" t="str">
        <f>+VLOOKUP(B111,'Maestro Personas'!$B$7:$C$105,2,0)</f>
        <v>9.766.376-9</v>
      </c>
      <c r="E111" s="1" t="str">
        <f>+VLOOKUP(B111,'Maestro Personas'!$B$7:$W$105,22,0)</f>
        <v>Cristina</v>
      </c>
      <c r="F111" s="1" t="str">
        <f>+VLOOKUP(B111,'Maestro Personas'!$B$7:$G$105,6,0)</f>
        <v>Socio</v>
      </c>
    </row>
    <row r="112" ht="15.75" customHeight="1">
      <c r="A112" s="6" t="s">
        <v>1141</v>
      </c>
      <c r="B112" s="6" t="s">
        <v>127</v>
      </c>
      <c r="C112" s="6"/>
      <c r="D112" s="1" t="str">
        <f>+VLOOKUP(B112,'Maestro Personas'!$B$7:$C$105,2,0)</f>
        <v>20.909.557-2</v>
      </c>
      <c r="E112" s="1" t="str">
        <f>+VLOOKUP(B112,'Maestro Personas'!$B$7:$W$105,22,0)</f>
        <v/>
      </c>
      <c r="F112" s="1" t="str">
        <f>+VLOOKUP(B112,'Maestro Personas'!$B$7:$G$105,6,0)</f>
        <v>Trainee</v>
      </c>
    </row>
    <row r="113" ht="15.75" customHeight="1">
      <c r="A113" s="6" t="s">
        <v>1141</v>
      </c>
      <c r="B113" s="6" t="s">
        <v>66</v>
      </c>
      <c r="C113" s="6"/>
      <c r="D113" s="1" t="str">
        <f>+VLOOKUP(B113,'Maestro Personas'!$B$7:$C$105,2,0)</f>
        <v>10.818.275-k</v>
      </c>
      <c r="E113" s="1" t="str">
        <f>+VLOOKUP(B113,'Maestro Personas'!$B$7:$W$105,22,0)</f>
        <v>Felipe</v>
      </c>
      <c r="F113" s="1" t="str">
        <f>+VLOOKUP(B113,'Maestro Personas'!$B$7:$G$105,6,0)</f>
        <v>Socio</v>
      </c>
    </row>
    <row r="114" ht="15.75" customHeight="1">
      <c r="A114" s="6" t="s">
        <v>1141</v>
      </c>
      <c r="B114" s="6" t="s">
        <v>213</v>
      </c>
      <c r="C114" s="6"/>
      <c r="D114" s="1" t="str">
        <f>+VLOOKUP(B114,'Maestro Personas'!$B$7:$C$105,2,0)</f>
        <v>19.963.668-5</v>
      </c>
      <c r="E114" s="1" t="str">
        <f>+VLOOKUP(B114,'Maestro Personas'!$B$7:$W$105,22,0)</f>
        <v>Trini</v>
      </c>
      <c r="F114" s="1" t="str">
        <f>+VLOOKUP(B114,'Maestro Personas'!$B$7:$G$105,6,0)</f>
        <v>Ejecutivo/a - Comunicaciones</v>
      </c>
    </row>
    <row r="115" ht="15.75" customHeight="1">
      <c r="A115" s="6" t="s">
        <v>1141</v>
      </c>
      <c r="B115" s="6" t="s">
        <v>150</v>
      </c>
      <c r="C115" s="6"/>
      <c r="D115" s="1" t="str">
        <f>+VLOOKUP(B115,'Maestro Personas'!$B$7:$C$105,2,0)</f>
        <v>18.588.568-2</v>
      </c>
      <c r="E115" s="1" t="str">
        <f>+VLOOKUP(B115,'Maestro Personas'!$B$7:$W$105,22,0)</f>
        <v>Ana</v>
      </c>
      <c r="F115" s="1" t="str">
        <f>+VLOOKUP(B115,'Maestro Personas'!$B$7:$G$105,6,0)</f>
        <v>Consultor/a - AAPP</v>
      </c>
    </row>
    <row r="116" ht="15.75" customHeight="1">
      <c r="A116" s="6" t="s">
        <v>1141</v>
      </c>
      <c r="B116" s="6" t="s">
        <v>476</v>
      </c>
      <c r="C116" s="6"/>
      <c r="D116" s="1" t="str">
        <f>+VLOOKUP(B116,'Maestro Personas'!$B$7:$C$105,2,0)</f>
        <v>8.639.242-9</v>
      </c>
      <c r="E116" s="1" t="str">
        <f>+VLOOKUP(B116,'Maestro Personas'!$B$7:$W$105,22,0)</f>
        <v>Isa</v>
      </c>
      <c r="F116" s="1" t="str">
        <f>+VLOOKUP(B116,'Maestro Personas'!$B$7:$G$105,6,0)</f>
        <v>Director/a - Comunicaciones</v>
      </c>
    </row>
    <row r="117" ht="15.75" customHeight="1">
      <c r="A117" s="6" t="s">
        <v>1141</v>
      </c>
      <c r="B117" s="6" t="s">
        <v>261</v>
      </c>
      <c r="C117" s="6"/>
      <c r="D117" s="1" t="str">
        <f>+VLOOKUP(B117,'Maestro Personas'!$B$7:$C$105,2,0)</f>
        <v>12.659.237-k</v>
      </c>
      <c r="E117" s="1" t="str">
        <f>+VLOOKUP(B117,'Maestro Personas'!$B$7:$W$105,22,0)</f>
        <v/>
      </c>
      <c r="F117" s="1" t="str">
        <f>+VLOOKUP(B117,'Maestro Personas'!$B$7:$G$105,6,0)</f>
        <v>Director/a Senior - Comunicaciones</v>
      </c>
    </row>
    <row r="118" ht="15.75" customHeight="1">
      <c r="A118" s="6" t="s">
        <v>1141</v>
      </c>
      <c r="B118" s="6" t="s">
        <v>440</v>
      </c>
      <c r="C118" s="6"/>
      <c r="D118" s="1" t="str">
        <f>+VLOOKUP(B118,'Maestro Personas'!$B$7:$C$105,2,0)</f>
        <v>19.078.174-7</v>
      </c>
      <c r="E118" s="1" t="str">
        <f>+VLOOKUP(B118,'Maestro Personas'!$B$7:$W$105,22,0)</f>
        <v>Yael</v>
      </c>
      <c r="F118" s="1" t="str">
        <f>+VLOOKUP(B118,'Maestro Personas'!$B$7:$G$105,6,0)</f>
        <v>Consultor/a - Comunicaciones</v>
      </c>
    </row>
    <row r="119" ht="15.75" customHeight="1">
      <c r="A119" s="6" t="s">
        <v>1141</v>
      </c>
      <c r="B119" s="6" t="s">
        <v>362</v>
      </c>
      <c r="C119" s="6"/>
      <c r="D119" s="1" t="str">
        <f>+VLOOKUP(B119,'Maestro Personas'!$B$7:$C$105,2,0)</f>
        <v>19.960.344-2</v>
      </c>
      <c r="E119" s="1" t="str">
        <f>+VLOOKUP(B119,'Maestro Personas'!$B$7:$W$105,22,0)</f>
        <v>Benjamín</v>
      </c>
      <c r="F119" s="1" t="str">
        <f>+VLOOKUP(B119,'Maestro Personas'!$B$7:$G$105,6,0)</f>
        <v>Consultor/a - Comunicaciones</v>
      </c>
    </row>
    <row r="120" ht="15.75" customHeight="1">
      <c r="A120" s="6" t="s">
        <v>1141</v>
      </c>
      <c r="B120" s="6" t="s">
        <v>151</v>
      </c>
      <c r="C120" s="6"/>
      <c r="D120" s="1" t="str">
        <f>+VLOOKUP(B120,'Maestro Personas'!$B$7:$C$105,2,0)</f>
        <v>14.533.402-0</v>
      </c>
      <c r="E120" s="1" t="str">
        <f>+VLOOKUP(B120,'Maestro Personas'!$B$7:$W$105,22,0)</f>
        <v>Pablo</v>
      </c>
      <c r="F120" s="1" t="str">
        <f>+VLOOKUP(B120,'Maestro Personas'!$B$7:$G$105,6,0)</f>
        <v>Consultor/a Senior - AAPP</v>
      </c>
    </row>
    <row r="121" ht="15.75" customHeight="1">
      <c r="A121" s="6" t="s">
        <v>1142</v>
      </c>
      <c r="B121" s="6" t="s">
        <v>93</v>
      </c>
      <c r="C121" s="6"/>
      <c r="D121" s="1" t="str">
        <f>+VLOOKUP(B121,'Maestro Personas'!$B$7:$C$105,2,0)</f>
        <v>13.529.165-k</v>
      </c>
      <c r="E121" s="1" t="str">
        <f>+VLOOKUP(B121,'Maestro Personas'!$B$7:$W$105,22,0)</f>
        <v>Juan Andrés</v>
      </c>
      <c r="F121" s="1" t="str">
        <f>+VLOOKUP(B121,'Maestro Personas'!$B$7:$G$105,6,0)</f>
        <v>Director/a - AAPP</v>
      </c>
    </row>
    <row r="122" ht="15.75" customHeight="1">
      <c r="A122" s="6" t="s">
        <v>1142</v>
      </c>
      <c r="B122" s="6" t="s">
        <v>83</v>
      </c>
      <c r="C122" s="6"/>
      <c r="D122" s="1" t="str">
        <f>+VLOOKUP(B122,'Maestro Personas'!$B$7:$C$105,2,0)</f>
        <v>14.045.482-6</v>
      </c>
      <c r="E122" s="1" t="str">
        <f>+VLOOKUP(B122,'Maestro Personas'!$B$7:$W$105,22,0)</f>
        <v>Ian</v>
      </c>
      <c r="F122" s="1" t="str">
        <f>+VLOOKUP(B122,'Maestro Personas'!$B$7:$G$105,6,0)</f>
        <v>Socio Director</v>
      </c>
    </row>
    <row r="123" ht="15.75" customHeight="1">
      <c r="A123" s="6" t="s">
        <v>1143</v>
      </c>
      <c r="B123" s="6" t="s">
        <v>93</v>
      </c>
      <c r="C123" s="6"/>
      <c r="D123" s="1" t="str">
        <f>+VLOOKUP(B123,'Maestro Personas'!$B$7:$C$105,2,0)</f>
        <v>13.529.165-k</v>
      </c>
      <c r="E123" s="1" t="str">
        <f>+VLOOKUP(B123,'Maestro Personas'!$B$7:$W$105,22,0)</f>
        <v>Juan Andrés</v>
      </c>
      <c r="F123" s="1" t="str">
        <f>+VLOOKUP(B123,'Maestro Personas'!$B$7:$G$105,6,0)</f>
        <v>Director/a - AAPP</v>
      </c>
    </row>
    <row r="124" ht="15.75" customHeight="1">
      <c r="A124" s="6" t="s">
        <v>1143</v>
      </c>
      <c r="B124" s="6" t="s">
        <v>266</v>
      </c>
      <c r="C124" s="6"/>
      <c r="D124" s="1" t="str">
        <f>+VLOOKUP(B124,'Maestro Personas'!$B$7:$C$105,2,0)</f>
        <v>18.845.158-6</v>
      </c>
      <c r="E124" s="1" t="str">
        <f>+VLOOKUP(B124,'Maestro Personas'!$B$7:$W$105,22,0)</f>
        <v>Sari</v>
      </c>
      <c r="F124" s="1" t="str">
        <f>+VLOOKUP(B124,'Maestro Personas'!$B$7:$G$105,6,0)</f>
        <v>Consultor/a Senior - Comunicaciones</v>
      </c>
    </row>
    <row r="125" ht="15.75" customHeight="1">
      <c r="A125" s="6" t="s">
        <v>1143</v>
      </c>
      <c r="B125" s="6" t="s">
        <v>73</v>
      </c>
      <c r="C125" s="6"/>
      <c r="D125" s="1" t="str">
        <f>+VLOOKUP(B125,'Maestro Personas'!$B$7:$C$105,2,0)</f>
        <v>16.282.327-2</v>
      </c>
      <c r="E125" s="1" t="str">
        <f>+VLOOKUP(B125,'Maestro Personas'!$B$7:$W$105,22,0)</f>
        <v>Jose, JM</v>
      </c>
      <c r="F125" s="1" t="str">
        <f>+VLOOKUP(B125,'Maestro Personas'!$B$7:$G$105,6,0)</f>
        <v>Socio Área Digital</v>
      </c>
    </row>
    <row r="126" ht="15.75" customHeight="1">
      <c r="A126" s="6" t="s">
        <v>1143</v>
      </c>
      <c r="B126" s="6" t="s">
        <v>183</v>
      </c>
      <c r="C126" s="6"/>
      <c r="D126" s="1" t="str">
        <f>+VLOOKUP(B126,'Maestro Personas'!$B$7:$C$105,2,0)</f>
        <v>26.054.812-3</v>
      </c>
      <c r="E126" s="1" t="str">
        <f>+VLOOKUP(B126,'Maestro Personas'!$B$7:$W$105,22,0)</f>
        <v>Martín</v>
      </c>
      <c r="F126" s="1" t="str">
        <f>+VLOOKUP(B126,'Maestro Personas'!$B$7:$G$105,6,0)</f>
        <v>Director Senior- Digital</v>
      </c>
    </row>
    <row r="127" ht="15.75" customHeight="1">
      <c r="A127" s="6" t="s">
        <v>1143</v>
      </c>
      <c r="B127" s="6" t="s">
        <v>40</v>
      </c>
      <c r="C127" s="6"/>
      <c r="D127" s="1" t="str">
        <f>+VLOOKUP(B127,'Maestro Personas'!$B$7:$C$105,2,0)</f>
        <v>9.766.376-9</v>
      </c>
      <c r="E127" s="1" t="str">
        <f>+VLOOKUP(B127,'Maestro Personas'!$B$7:$W$105,22,0)</f>
        <v>Cristina</v>
      </c>
      <c r="F127" s="1" t="str">
        <f>+VLOOKUP(B127,'Maestro Personas'!$B$7:$G$105,6,0)</f>
        <v>Socio</v>
      </c>
    </row>
    <row r="128" ht="15.75" customHeight="1">
      <c r="A128" s="6" t="s">
        <v>1143</v>
      </c>
      <c r="B128" s="6" t="s">
        <v>279</v>
      </c>
      <c r="C128" s="6"/>
      <c r="D128" s="1" t="str">
        <f>+VLOOKUP(B128,'Maestro Personas'!$B$7:$C$105,2,0)</f>
        <v>8.510.437-3</v>
      </c>
      <c r="E128" s="1" t="str">
        <f>+VLOOKUP(B128,'Maestro Personas'!$B$7:$W$105,22,0)</f>
        <v>Pablo</v>
      </c>
      <c r="F128" s="1" t="str">
        <f>+VLOOKUP(B128,'Maestro Personas'!$B$7:$G$105,6,0)</f>
        <v>Consultor/a Senior - Comunicaciones</v>
      </c>
    </row>
    <row r="129" ht="15.75" customHeight="1">
      <c r="A129" s="6" t="s">
        <v>1143</v>
      </c>
      <c r="B129" s="6" t="s">
        <v>61</v>
      </c>
      <c r="C129" s="6"/>
      <c r="D129" s="1" t="str">
        <f>+VLOOKUP(B129,'Maestro Personas'!$B$7:$C$105,2,0)</f>
        <v>12.454.685-0</v>
      </c>
      <c r="E129" s="1" t="str">
        <f>+VLOOKUP(B129,'Maestro Personas'!$B$7:$W$105,22,0)</f>
        <v>Vic</v>
      </c>
      <c r="F129" s="1" t="str">
        <f>+VLOOKUP(B129,'Maestro Personas'!$B$7:$G$105,6,0)</f>
        <v>Socio Director</v>
      </c>
    </row>
    <row r="130" ht="15.75" customHeight="1">
      <c r="A130" s="6" t="s">
        <v>1143</v>
      </c>
      <c r="B130" s="6" t="s">
        <v>328</v>
      </c>
      <c r="C130" s="6"/>
      <c r="D130" s="1" t="str">
        <f>+VLOOKUP(B130,'Maestro Personas'!$B$7:$C$105,2,0)</f>
        <v>19.242.632-4</v>
      </c>
      <c r="E130" s="1" t="str">
        <f>+VLOOKUP(B130,'Maestro Personas'!$B$7:$W$105,22,0)</f>
        <v>Ignacio</v>
      </c>
      <c r="F130" s="1" t="str">
        <f>+VLOOKUP(B130,'Maestro Personas'!$B$7:$G$105,6,0)</f>
        <v>Ejecutivo/a - Comunicaciones</v>
      </c>
    </row>
    <row r="131" ht="15.75" customHeight="1">
      <c r="A131" s="6" t="s">
        <v>1143</v>
      </c>
      <c r="B131" s="6" t="s">
        <v>164</v>
      </c>
      <c r="C131" s="6"/>
      <c r="D131" s="1" t="str">
        <f>+VLOOKUP(B131,'Maestro Personas'!$B$7:$C$105,2,0)</f>
        <v>15.722.742-4</v>
      </c>
      <c r="E131" s="1" t="str">
        <f>+VLOOKUP(B131,'Maestro Personas'!$B$7:$W$105,22,0)</f>
        <v>Robert</v>
      </c>
      <c r="F131" s="1" t="str">
        <f>+VLOOKUP(B131,'Maestro Personas'!$B$7:$G$105,6,0)</f>
        <v>Director/a - AAPP</v>
      </c>
    </row>
    <row r="132" ht="15.75" customHeight="1">
      <c r="A132" s="6" t="s">
        <v>1143</v>
      </c>
      <c r="B132" s="6" t="s">
        <v>140</v>
      </c>
      <c r="C132" s="6"/>
      <c r="D132" s="1" t="str">
        <f>+VLOOKUP(B132,'Maestro Personas'!$B$7:$C$105,2,0)</f>
        <v>20.075.693-2</v>
      </c>
      <c r="E132" s="1" t="str">
        <f>+VLOOKUP(B132,'Maestro Personas'!$B$7:$W$105,22,0)</f>
        <v>Felipe</v>
      </c>
      <c r="F132" s="1" t="str">
        <f>+VLOOKUP(B132,'Maestro Personas'!$B$7:$G$105,6,0)</f>
        <v>Ejecutivo/a de Cuentas - Digital</v>
      </c>
    </row>
    <row r="133" ht="15.75" customHeight="1">
      <c r="A133" s="6" t="s">
        <v>1143</v>
      </c>
      <c r="B133" s="6" t="s">
        <v>148</v>
      </c>
      <c r="C133" s="6"/>
      <c r="D133" s="1" t="str">
        <f>+VLOOKUP(B133,'Maestro Personas'!$B$7:$C$105,2,0)</f>
        <v>27.028.873-1</v>
      </c>
      <c r="E133" s="1" t="str">
        <f>+VLOOKUP(B133,'Maestro Personas'!$B$7:$W$105,22,0)</f>
        <v>Ali o Alice</v>
      </c>
      <c r="F133" s="1" t="str">
        <f>+VLOOKUP(B133,'Maestro Personas'!$B$7:$G$105,6,0)</f>
        <v>Consultores Senior - Digital</v>
      </c>
    </row>
    <row r="134" ht="15.75" customHeight="1">
      <c r="A134" s="6" t="s">
        <v>1143</v>
      </c>
      <c r="B134" s="6" t="s">
        <v>59</v>
      </c>
      <c r="C134" s="6"/>
      <c r="D134" s="1" t="str">
        <f>+VLOOKUP(B134,'Maestro Personas'!$B$7:$C$105,2,0)</f>
        <v>8.929.175-5</v>
      </c>
      <c r="E134" s="1" t="str">
        <f>+VLOOKUP(B134,'Maestro Personas'!$B$7:$W$105,22,0)</f>
        <v/>
      </c>
      <c r="F134" s="1" t="str">
        <f>+VLOOKUP(B134,'Maestro Personas'!$B$7:$G$105,6,0)</f>
        <v>Socio Director</v>
      </c>
    </row>
    <row r="135" ht="15.75" customHeight="1">
      <c r="A135" s="6" t="s">
        <v>1143</v>
      </c>
      <c r="B135" s="6" t="s">
        <v>144</v>
      </c>
      <c r="C135" s="6"/>
      <c r="D135" s="1" t="str">
        <f>+VLOOKUP(B135,'Maestro Personas'!$B$7:$C$105,2,0)</f>
        <v>15.341.075-5</v>
      </c>
      <c r="E135" s="1" t="str">
        <f>+VLOOKUP(B135,'Maestro Personas'!$B$7:$W$105,22,0)</f>
        <v>Lisette</v>
      </c>
      <c r="F135" s="1" t="str">
        <f>+VLOOKUP(B135,'Maestro Personas'!$B$7:$G$105,6,0)</f>
        <v>Socio Director</v>
      </c>
    </row>
    <row r="136" ht="15.75" customHeight="1">
      <c r="A136" s="6" t="s">
        <v>1143</v>
      </c>
      <c r="B136" s="6" t="s">
        <v>168</v>
      </c>
      <c r="C136" s="6"/>
      <c r="D136" s="1" t="str">
        <f>+VLOOKUP(B136,'Maestro Personas'!$B$7:$C$105,2,0)</f>
        <v>17.248.821-8</v>
      </c>
      <c r="E136" s="1" t="str">
        <f>+VLOOKUP(B136,'Maestro Personas'!$B$7:$W$105,22,0)</f>
        <v>Paz</v>
      </c>
      <c r="F136" s="1" t="str">
        <f>+VLOOKUP(B136,'Maestro Personas'!$B$7:$G$105,6,0)</f>
        <v>Ejecutivo/a de Cuentas - Digital</v>
      </c>
    </row>
    <row r="137" ht="15.75" customHeight="1">
      <c r="A137" s="6" t="s">
        <v>1143</v>
      </c>
      <c r="B137" s="6" t="s">
        <v>171</v>
      </c>
      <c r="C137" s="6"/>
      <c r="D137" s="1" t="str">
        <f>+VLOOKUP(B137,'Maestro Personas'!$B$7:$C$105,2,0)</f>
        <v>18.956.291-8</v>
      </c>
      <c r="E137" s="1" t="str">
        <f>+VLOOKUP(B137,'Maestro Personas'!$B$7:$W$105,22,0)</f>
        <v>Javi</v>
      </c>
      <c r="F137" s="1" t="str">
        <f>+VLOOKUP(B137,'Maestro Personas'!$B$7:$G$105,6,0)</f>
        <v>Ejecutivo/a de Cuentas - Digital</v>
      </c>
    </row>
    <row r="138" ht="15.75" customHeight="1">
      <c r="A138" s="6" t="s">
        <v>1143</v>
      </c>
      <c r="B138" s="6" t="s">
        <v>122</v>
      </c>
      <c r="C138" s="6"/>
      <c r="D138" s="1" t="str">
        <f>+VLOOKUP(B138,'Maestro Personas'!$B$7:$C$105,2,0)</f>
        <v>26.965.314-0</v>
      </c>
      <c r="E138" s="1" t="str">
        <f>+VLOOKUP(B138,'Maestro Personas'!$B$7:$W$105,22,0)</f>
        <v>Reimar, Rei</v>
      </c>
      <c r="F138" s="1" t="str">
        <f>+VLOOKUP(B138,'Maestro Personas'!$B$7:$G$105,6,0)</f>
        <v>Ejecutivo/a de Cuentas - Digital</v>
      </c>
    </row>
    <row r="139" ht="15.75" customHeight="1">
      <c r="A139" s="6" t="s">
        <v>1143</v>
      </c>
      <c r="B139" s="6" t="s">
        <v>347</v>
      </c>
      <c r="C139" s="6"/>
      <c r="D139" s="1" t="str">
        <f>+VLOOKUP(B139,'Maestro Personas'!$B$7:$C$105,2,0)</f>
        <v>20.197.117-9</v>
      </c>
      <c r="E139" s="1" t="str">
        <f>+VLOOKUP(B139,'Maestro Personas'!$B$7:$W$105,22,0)</f>
        <v>Vale</v>
      </c>
      <c r="F139" s="1" t="str">
        <f>+VLOOKUP(B139,'Maestro Personas'!$B$7:$G$105,6,0)</f>
        <v>Ejecutivo/a - Comunicaciones</v>
      </c>
    </row>
    <row r="140" ht="15.75" customHeight="1">
      <c r="A140" s="6" t="s">
        <v>1143</v>
      </c>
      <c r="B140" s="6" t="s">
        <v>313</v>
      </c>
      <c r="C140" s="6"/>
      <c r="D140" s="1" t="str">
        <f>+VLOOKUP(B140,'Maestro Personas'!$B$7:$C$105,2,0)</f>
        <v>10.321.885-3</v>
      </c>
      <c r="E140" s="1" t="str">
        <f>+VLOOKUP(B140,'Maestro Personas'!$B$7:$W$105,22,0)</f>
        <v>Toño</v>
      </c>
      <c r="F140" s="1" t="str">
        <f>+VLOOKUP(B140,'Maestro Personas'!$B$7:$G$105,6,0)</f>
        <v>Consultores Senior - Digital</v>
      </c>
    </row>
    <row r="141" ht="15.75" customHeight="1">
      <c r="A141" s="6" t="s">
        <v>1144</v>
      </c>
      <c r="B141" s="6" t="s">
        <v>199</v>
      </c>
      <c r="C141" s="6"/>
      <c r="D141" s="1" t="str">
        <f>+VLOOKUP(B141,'Maestro Personas'!$B$7:$C$105,2,0)</f>
        <v>12.403.456-6</v>
      </c>
      <c r="E141" s="1" t="str">
        <f>+VLOOKUP(B141,'Maestro Personas'!$B$7:$W$105,22,0)</f>
        <v>Dani</v>
      </c>
      <c r="F141" s="1" t="str">
        <f>+VLOOKUP(B141,'Maestro Personas'!$B$7:$G$105,6,0)</f>
        <v>Socio Director</v>
      </c>
    </row>
    <row r="142" ht="15.75" customHeight="1">
      <c r="A142" s="6" t="s">
        <v>1145</v>
      </c>
      <c r="B142" s="6" t="s">
        <v>127</v>
      </c>
      <c r="C142" s="6"/>
      <c r="D142" s="1" t="str">
        <f>+VLOOKUP(B142,'Maestro Personas'!$B$7:$C$105,2,0)</f>
        <v>20.909.557-2</v>
      </c>
      <c r="E142" s="1" t="str">
        <f>+VLOOKUP(B142,'Maestro Personas'!$B$7:$W$105,22,0)</f>
        <v/>
      </c>
      <c r="F142" s="1" t="str">
        <f>+VLOOKUP(B142,'Maestro Personas'!$B$7:$G$105,6,0)</f>
        <v>Trainee</v>
      </c>
    </row>
    <row r="143" ht="15.75" customHeight="1">
      <c r="A143" s="6" t="s">
        <v>1145</v>
      </c>
      <c r="B143" s="6" t="s">
        <v>59</v>
      </c>
      <c r="C143" s="6"/>
      <c r="D143" s="1" t="str">
        <f>+VLOOKUP(B143,'Maestro Personas'!$B$7:$C$105,2,0)</f>
        <v>8.929.175-5</v>
      </c>
      <c r="E143" s="1" t="str">
        <f>+VLOOKUP(B143,'Maestro Personas'!$B$7:$W$105,22,0)</f>
        <v/>
      </c>
      <c r="F143" s="1" t="str">
        <f>+VLOOKUP(B143,'Maestro Personas'!$B$7:$G$105,6,0)</f>
        <v>Socio Director</v>
      </c>
    </row>
    <row r="144" ht="15.75" customHeight="1">
      <c r="A144" s="6" t="s">
        <v>1145</v>
      </c>
      <c r="B144" s="6" t="s">
        <v>151</v>
      </c>
      <c r="C144" s="6"/>
      <c r="D144" s="1" t="str">
        <f>+VLOOKUP(B144,'Maestro Personas'!$B$7:$C$105,2,0)</f>
        <v>14.533.402-0</v>
      </c>
      <c r="E144" s="1" t="str">
        <f>+VLOOKUP(B144,'Maestro Personas'!$B$7:$W$105,22,0)</f>
        <v>Pablo</v>
      </c>
      <c r="F144" s="1" t="str">
        <f>+VLOOKUP(B144,'Maestro Personas'!$B$7:$G$105,6,0)</f>
        <v>Consultor/a Senior - AAPP</v>
      </c>
    </row>
    <row r="145" ht="15.75" customHeight="1">
      <c r="A145" s="6" t="s">
        <v>1146</v>
      </c>
      <c r="B145" s="6" t="s">
        <v>40</v>
      </c>
      <c r="C145" s="6"/>
      <c r="D145" s="1" t="str">
        <f>+VLOOKUP(B145,'Maestro Personas'!$B$7:$C$105,2,0)</f>
        <v>9.766.376-9</v>
      </c>
      <c r="E145" s="1" t="str">
        <f>+VLOOKUP(B145,'Maestro Personas'!$B$7:$W$105,22,0)</f>
        <v>Cristina</v>
      </c>
      <c r="F145" s="1" t="str">
        <f>+VLOOKUP(B145,'Maestro Personas'!$B$7:$G$105,6,0)</f>
        <v>Socio</v>
      </c>
    </row>
    <row r="146" ht="15.75" customHeight="1">
      <c r="A146" s="6" t="s">
        <v>1146</v>
      </c>
      <c r="B146" s="6" t="s">
        <v>219</v>
      </c>
      <c r="C146" s="6"/>
      <c r="D146" s="1" t="str">
        <f>+VLOOKUP(B146,'Maestro Personas'!$B$7:$C$105,2,0)</f>
        <v>15.370.192-k</v>
      </c>
      <c r="E146" s="1" t="str">
        <f>+VLOOKUP(B146,'Maestro Personas'!$B$7:$W$105,22,0)</f>
        <v/>
      </c>
      <c r="F146" s="1" t="str">
        <f>+VLOOKUP(B146,'Maestro Personas'!$B$7:$G$105,6,0)</f>
        <v>Director/a - Comunicaciones</v>
      </c>
    </row>
    <row r="147" ht="15.75" customHeight="1">
      <c r="A147" s="6" t="s">
        <v>1146</v>
      </c>
      <c r="B147" s="6" t="s">
        <v>133</v>
      </c>
      <c r="C147" s="6"/>
      <c r="D147" s="1" t="str">
        <f>+VLOOKUP(B147,'Maestro Personas'!$B$7:$C$105,2,0)</f>
        <v>15.959.738-5</v>
      </c>
      <c r="E147" s="1" t="str">
        <f>+VLOOKUP(B147,'Maestro Personas'!$B$7:$W$105,22,0)</f>
        <v>Javi</v>
      </c>
      <c r="F147" s="1" t="str">
        <f>+VLOOKUP(B147,'Maestro Personas'!$B$7:$G$105,6,0)</f>
        <v>Director/a - AAPP</v>
      </c>
    </row>
    <row r="148" ht="15.75" customHeight="1">
      <c r="A148" s="6" t="s">
        <v>1147</v>
      </c>
      <c r="B148" s="6" t="s">
        <v>127</v>
      </c>
      <c r="C148" s="6"/>
      <c r="D148" s="1" t="str">
        <f>+VLOOKUP(B148,'Maestro Personas'!$B$7:$C$105,2,0)</f>
        <v>20.909.557-2</v>
      </c>
      <c r="E148" s="1" t="str">
        <f>+VLOOKUP(B148,'Maestro Personas'!$B$7:$W$105,22,0)</f>
        <v/>
      </c>
      <c r="F148" s="1" t="str">
        <f>+VLOOKUP(B148,'Maestro Personas'!$B$7:$G$105,6,0)</f>
        <v>Trainee</v>
      </c>
    </row>
    <row r="149" ht="15.75" customHeight="1">
      <c r="A149" s="6" t="s">
        <v>1147</v>
      </c>
      <c r="B149" s="6" t="s">
        <v>83</v>
      </c>
      <c r="C149" s="6"/>
      <c r="D149" s="1" t="str">
        <f>+VLOOKUP(B149,'Maestro Personas'!$B$7:$C$105,2,0)</f>
        <v>14.045.482-6</v>
      </c>
      <c r="E149" s="1" t="str">
        <f>+VLOOKUP(B149,'Maestro Personas'!$B$7:$W$105,22,0)</f>
        <v>Ian</v>
      </c>
      <c r="F149" s="1" t="str">
        <f>+VLOOKUP(B149,'Maestro Personas'!$B$7:$G$105,6,0)</f>
        <v>Socio Director</v>
      </c>
    </row>
    <row r="150" ht="15.75" customHeight="1">
      <c r="A150" s="6" t="s">
        <v>1148</v>
      </c>
      <c r="B150" s="6" t="s">
        <v>30</v>
      </c>
      <c r="C150" s="6"/>
      <c r="D150" s="1" t="str">
        <f>+VLOOKUP(B150,'Maestro Personas'!$B$7:$C$105,2,0)</f>
        <v>19.300.070-3</v>
      </c>
      <c r="E150" s="1" t="str">
        <f>+VLOOKUP(B150,'Maestro Personas'!$B$7:$W$105,22,0)</f>
        <v>Sandra</v>
      </c>
      <c r="F150" s="1" t="str">
        <f>+VLOOKUP(B150,'Maestro Personas'!$B$7:$G$105,6,0)</f>
        <v>Consultores - Digital</v>
      </c>
    </row>
    <row r="151" ht="15.75" customHeight="1">
      <c r="A151" s="6" t="s">
        <v>1148</v>
      </c>
      <c r="B151" s="6" t="s">
        <v>73</v>
      </c>
      <c r="C151" s="6"/>
      <c r="D151" s="1" t="str">
        <f>+VLOOKUP(B151,'Maestro Personas'!$B$7:$C$105,2,0)</f>
        <v>16.282.327-2</v>
      </c>
      <c r="E151" s="1" t="str">
        <f>+VLOOKUP(B151,'Maestro Personas'!$B$7:$W$105,22,0)</f>
        <v>Jose, JM</v>
      </c>
      <c r="F151" s="1" t="str">
        <f>+VLOOKUP(B151,'Maestro Personas'!$B$7:$G$105,6,0)</f>
        <v>Socio Área Digital</v>
      </c>
    </row>
    <row r="152" ht="15.75" customHeight="1">
      <c r="A152" s="6" t="s">
        <v>1148</v>
      </c>
      <c r="B152" s="6" t="s">
        <v>203</v>
      </c>
      <c r="C152" s="6"/>
      <c r="D152" s="1" t="str">
        <f>+VLOOKUP(B152,'Maestro Personas'!$B$7:$C$105,2,0)</f>
        <v>8.344.585-8</v>
      </c>
      <c r="E152" s="1" t="str">
        <f>+VLOOKUP(B152,'Maestro Personas'!$B$7:$W$105,22,0)</f>
        <v>Bego</v>
      </c>
      <c r="F152" s="1" t="str">
        <f>+VLOOKUP(B152,'Maestro Personas'!$B$7:$G$105,6,0)</f>
        <v>Socio Director</v>
      </c>
    </row>
    <row r="153" ht="15.75" customHeight="1">
      <c r="A153" s="6" t="s">
        <v>1148</v>
      </c>
      <c r="B153" s="6" t="s">
        <v>459</v>
      </c>
      <c r="C153" s="6"/>
      <c r="D153" s="1" t="str">
        <f>+VLOOKUP(B153,'Maestro Personas'!$B$7:$C$105,2,0)</f>
        <v>17.701.415-k</v>
      </c>
      <c r="E153" s="1" t="str">
        <f>+VLOOKUP(B153,'Maestro Personas'!$B$7:$W$105,22,0)</f>
        <v>Lore</v>
      </c>
      <c r="F153" s="1" t="str">
        <f>+VLOOKUP(B153,'Maestro Personas'!$B$7:$G$105,6,0)</f>
        <v>Consultores Senior - Digital</v>
      </c>
    </row>
    <row r="154" ht="15.75" customHeight="1">
      <c r="A154" s="6" t="s">
        <v>1148</v>
      </c>
      <c r="B154" s="6" t="s">
        <v>113</v>
      </c>
      <c r="C154" s="6"/>
      <c r="D154" s="1" t="str">
        <f>+VLOOKUP(B154,'Maestro Personas'!$B$7:$C$105,2,0)</f>
        <v>17.950.016-7</v>
      </c>
      <c r="E154" s="1" t="str">
        <f>+VLOOKUP(B154,'Maestro Personas'!$B$7:$W$105,22,0)</f>
        <v>Dani</v>
      </c>
      <c r="F154" s="1" t="str">
        <f>+VLOOKUP(B154,'Maestro Personas'!$B$7:$G$105,6,0)</f>
        <v>Director/a - AAPP</v>
      </c>
    </row>
    <row r="155" ht="15.75" customHeight="1">
      <c r="A155" s="6" t="s">
        <v>1148</v>
      </c>
      <c r="B155" s="6" t="s">
        <v>164</v>
      </c>
      <c r="C155" s="6"/>
      <c r="D155" s="1" t="str">
        <f>+VLOOKUP(B155,'Maestro Personas'!$B$7:$C$105,2,0)</f>
        <v>15.722.742-4</v>
      </c>
      <c r="E155" s="1" t="str">
        <f>+VLOOKUP(B155,'Maestro Personas'!$B$7:$W$105,22,0)</f>
        <v>Robert</v>
      </c>
      <c r="F155" s="1" t="str">
        <f>+VLOOKUP(B155,'Maestro Personas'!$B$7:$G$105,6,0)</f>
        <v>Director/a - AAPP</v>
      </c>
    </row>
    <row r="156" ht="15.75" customHeight="1">
      <c r="A156" s="6" t="s">
        <v>1148</v>
      </c>
      <c r="B156" s="6" t="s">
        <v>140</v>
      </c>
      <c r="C156" s="6"/>
      <c r="D156" s="1" t="str">
        <f>+VLOOKUP(B156,'Maestro Personas'!$B$7:$C$105,2,0)</f>
        <v>20.075.693-2</v>
      </c>
      <c r="E156" s="1" t="str">
        <f>+VLOOKUP(B156,'Maestro Personas'!$B$7:$W$105,22,0)</f>
        <v>Felipe</v>
      </c>
      <c r="F156" s="1" t="str">
        <f>+VLOOKUP(B156,'Maestro Personas'!$B$7:$G$105,6,0)</f>
        <v>Ejecutivo/a de Cuentas - Digital</v>
      </c>
    </row>
    <row r="157" ht="15.75" customHeight="1">
      <c r="A157" s="6" t="s">
        <v>1148</v>
      </c>
      <c r="B157" s="6" t="s">
        <v>66</v>
      </c>
      <c r="C157" s="6"/>
      <c r="D157" s="1" t="str">
        <f>+VLOOKUP(B157,'Maestro Personas'!$B$7:$C$105,2,0)</f>
        <v>10.818.275-k</v>
      </c>
      <c r="E157" s="1" t="str">
        <f>+VLOOKUP(B157,'Maestro Personas'!$B$7:$W$105,22,0)</f>
        <v>Felipe</v>
      </c>
      <c r="F157" s="1" t="str">
        <f>+VLOOKUP(B157,'Maestro Personas'!$B$7:$G$105,6,0)</f>
        <v>Socio</v>
      </c>
    </row>
    <row r="158" ht="15.75" customHeight="1">
      <c r="A158" s="6" t="s">
        <v>1148</v>
      </c>
      <c r="B158" s="6" t="s">
        <v>59</v>
      </c>
      <c r="C158" s="6"/>
      <c r="D158" s="1" t="str">
        <f>+VLOOKUP(B158,'Maestro Personas'!$B$7:$C$105,2,0)</f>
        <v>8.929.175-5</v>
      </c>
      <c r="E158" s="1" t="str">
        <f>+VLOOKUP(B158,'Maestro Personas'!$B$7:$W$105,22,0)</f>
        <v/>
      </c>
      <c r="F158" s="1" t="str">
        <f>+VLOOKUP(B158,'Maestro Personas'!$B$7:$G$105,6,0)</f>
        <v>Socio Director</v>
      </c>
    </row>
    <row r="159" ht="15.75" customHeight="1">
      <c r="A159" s="6" t="s">
        <v>1148</v>
      </c>
      <c r="B159" s="6" t="s">
        <v>289</v>
      </c>
      <c r="C159" s="6"/>
      <c r="D159" s="1" t="str">
        <f>+VLOOKUP(B159,'Maestro Personas'!$B$7:$C$105,2,0)</f>
        <v>20.165.239-1</v>
      </c>
      <c r="E159" s="1" t="str">
        <f>+VLOOKUP(B159,'Maestro Personas'!$B$7:$W$105,22,0)</f>
        <v>Fernanda</v>
      </c>
      <c r="F159" s="1" t="str">
        <f>+VLOOKUP(B159,'Maestro Personas'!$B$7:$G$105,6,0)</f>
        <v>Consultores - Digital</v>
      </c>
    </row>
    <row r="160" ht="15.75" customHeight="1">
      <c r="A160" s="6" t="s">
        <v>1148</v>
      </c>
      <c r="B160" s="6" t="s">
        <v>419</v>
      </c>
      <c r="C160" s="6"/>
      <c r="D160" s="1" t="str">
        <f>+VLOOKUP(B160,'Maestro Personas'!$B$7:$C$105,2,0)</f>
        <v>18.537.942-6</v>
      </c>
      <c r="E160" s="1" t="str">
        <f>+VLOOKUP(B160,'Maestro Personas'!$B$7:$W$105,22,0)</f>
        <v>Naty</v>
      </c>
      <c r="F160" s="1" t="str">
        <f>+VLOOKUP(B160,'Maestro Personas'!$B$7:$G$105,6,0)</f>
        <v>Consultores Senior - Digital</v>
      </c>
    </row>
    <row r="161" ht="15.75" customHeight="1">
      <c r="A161" s="6" t="s">
        <v>1148</v>
      </c>
      <c r="B161" s="6" t="s">
        <v>171</v>
      </c>
      <c r="C161" s="6"/>
      <c r="D161" s="1" t="str">
        <f>+VLOOKUP(B161,'Maestro Personas'!$B$7:$C$105,2,0)</f>
        <v>18.956.291-8</v>
      </c>
      <c r="E161" s="1" t="str">
        <f>+VLOOKUP(B161,'Maestro Personas'!$B$7:$W$105,22,0)</f>
        <v>Javi</v>
      </c>
      <c r="F161" s="1" t="str">
        <f>+VLOOKUP(B161,'Maestro Personas'!$B$7:$G$105,6,0)</f>
        <v>Ejecutivo/a de Cuentas - Digital</v>
      </c>
    </row>
    <row r="162" ht="15.75" customHeight="1">
      <c r="A162" s="6" t="s">
        <v>1148</v>
      </c>
      <c r="B162" s="6" t="s">
        <v>352</v>
      </c>
      <c r="C162" s="6"/>
      <c r="D162" s="1" t="str">
        <f>+VLOOKUP(B162,'Maestro Personas'!$B$7:$C$105,2,0)</f>
        <v>15.642.655-5</v>
      </c>
      <c r="E162" s="1" t="str">
        <f>+VLOOKUP(B162,'Maestro Personas'!$B$7:$W$105,22,0)</f>
        <v>Maca</v>
      </c>
      <c r="F162" s="1" t="str">
        <f>+VLOOKUP(B162,'Maestro Personas'!$B$7:$G$105,6,0)</f>
        <v>Director/a - Comunicaciones</v>
      </c>
    </row>
    <row r="163" ht="15.75" customHeight="1">
      <c r="A163" s="6" t="s">
        <v>1148</v>
      </c>
      <c r="B163" s="6" t="s">
        <v>318</v>
      </c>
      <c r="C163" s="6"/>
      <c r="D163" s="1" t="str">
        <f>+VLOOKUP(B163,'Maestro Personas'!$B$7:$C$105,2,0)</f>
        <v>13.955.054-4</v>
      </c>
      <c r="E163" s="1" t="str">
        <f>+VLOOKUP(B163,'Maestro Personas'!$B$7:$W$105,22,0)</f>
        <v>César</v>
      </c>
      <c r="F163" s="1" t="str">
        <f>+VLOOKUP(B163,'Maestro Personas'!$B$7:$G$105,6,0)</f>
        <v>Director/a Senior - Comunicaciones</v>
      </c>
    </row>
    <row r="164" ht="15.75" customHeight="1">
      <c r="A164" s="6" t="s">
        <v>497</v>
      </c>
      <c r="B164" s="6" t="s">
        <v>30</v>
      </c>
      <c r="C164" s="6"/>
      <c r="D164" s="1" t="str">
        <f>+VLOOKUP(B164,'Maestro Personas'!$B$7:$C$105,2,0)</f>
        <v>19.300.070-3</v>
      </c>
      <c r="E164" s="1" t="str">
        <f>+VLOOKUP(B164,'Maestro Personas'!$B$7:$W$105,22,0)</f>
        <v>Sandra</v>
      </c>
      <c r="F164" s="1" t="str">
        <f>+VLOOKUP(B164,'Maestro Personas'!$B$7:$G$105,6,0)</f>
        <v>Consultores - Digital</v>
      </c>
    </row>
    <row r="165" ht="15.75" customHeight="1">
      <c r="A165" s="6" t="s">
        <v>497</v>
      </c>
      <c r="B165" s="6" t="s">
        <v>403</v>
      </c>
      <c r="C165" s="6"/>
      <c r="D165" s="1" t="str">
        <f>+VLOOKUP(B165,'Maestro Personas'!$B$7:$C$105,2,0)</f>
        <v>16.468.441-5</v>
      </c>
      <c r="E165" s="1" t="str">
        <f>+VLOOKUP(B165,'Maestro Personas'!$B$7:$W$105,22,0)</f>
        <v>Romi</v>
      </c>
      <c r="F165" s="1" t="str">
        <f>+VLOOKUP(B165,'Maestro Personas'!$B$7:$G$105,6,0)</f>
        <v>Director/a - Comunicaciones</v>
      </c>
    </row>
    <row r="166" ht="15.75" customHeight="1">
      <c r="A166" s="6" t="s">
        <v>497</v>
      </c>
      <c r="B166" s="6" t="s">
        <v>73</v>
      </c>
      <c r="C166" s="6"/>
      <c r="D166" s="1" t="str">
        <f>+VLOOKUP(B166,'Maestro Personas'!$B$7:$C$105,2,0)</f>
        <v>16.282.327-2</v>
      </c>
      <c r="E166" s="1" t="str">
        <f>+VLOOKUP(B166,'Maestro Personas'!$B$7:$W$105,22,0)</f>
        <v>Jose, JM</v>
      </c>
      <c r="F166" s="1" t="str">
        <f>+VLOOKUP(B166,'Maestro Personas'!$B$7:$G$105,6,0)</f>
        <v>Socio Área Digital</v>
      </c>
    </row>
    <row r="167" ht="15.75" customHeight="1">
      <c r="A167" s="6" t="s">
        <v>497</v>
      </c>
      <c r="B167" s="6" t="s">
        <v>160</v>
      </c>
      <c r="C167" s="6"/>
      <c r="D167" s="1" t="str">
        <f>+VLOOKUP(B167,'Maestro Personas'!$B$7:$C$105,2,0)</f>
        <v>17.407.755-k</v>
      </c>
      <c r="E167" s="1" t="str">
        <f>+VLOOKUP(B167,'Maestro Personas'!$B$7:$W$105,22,0)</f>
        <v>Stefano</v>
      </c>
      <c r="F167" s="1" t="str">
        <f>+VLOOKUP(B167,'Maestro Personas'!$B$7:$G$105,6,0)</f>
        <v>Consultor/a Senior - AAPP</v>
      </c>
    </row>
    <row r="168" ht="15.75" customHeight="1">
      <c r="A168" s="6" t="s">
        <v>497</v>
      </c>
      <c r="B168" s="6" t="s">
        <v>455</v>
      </c>
      <c r="C168" s="6"/>
      <c r="D168" s="1" t="str">
        <f>+VLOOKUP(B168,'Maestro Personas'!$B$7:$C$105,2,0)</f>
        <v>17.037.273-5</v>
      </c>
      <c r="E168" s="1" t="str">
        <f>+VLOOKUP(B168,'Maestro Personas'!$B$7:$W$105,22,0)</f>
        <v>Cami</v>
      </c>
      <c r="F168" s="1" t="str">
        <f>+VLOOKUP(B168,'Maestro Personas'!$B$7:$G$105,6,0)</f>
        <v>Consultor/a - Comunicaciones</v>
      </c>
    </row>
    <row r="169" ht="15.75" customHeight="1">
      <c r="A169" s="6" t="s">
        <v>497</v>
      </c>
      <c r="B169" s="6" t="s">
        <v>183</v>
      </c>
      <c r="C169" s="6"/>
      <c r="D169" s="1" t="str">
        <f>+VLOOKUP(B169,'Maestro Personas'!$B$7:$C$105,2,0)</f>
        <v>26.054.812-3</v>
      </c>
      <c r="E169" s="1" t="str">
        <f>+VLOOKUP(B169,'Maestro Personas'!$B$7:$W$105,22,0)</f>
        <v>Martín</v>
      </c>
      <c r="F169" s="1" t="str">
        <f>+VLOOKUP(B169,'Maestro Personas'!$B$7:$G$105,6,0)</f>
        <v>Director Senior- Digital</v>
      </c>
    </row>
    <row r="170" ht="15.75" customHeight="1">
      <c r="A170" s="6" t="s">
        <v>497</v>
      </c>
      <c r="B170" s="6" t="s">
        <v>131</v>
      </c>
      <c r="C170" s="6"/>
      <c r="D170" s="1" t="str">
        <f>+VLOOKUP(B170,'Maestro Personas'!$B$7:$C$105,2,0)</f>
        <v>19.293.473-7</v>
      </c>
      <c r="E170" s="1" t="str">
        <f>+VLOOKUP(B170,'Maestro Personas'!$B$7:$W$105,22,0)</f>
        <v>Martina</v>
      </c>
      <c r="F170" s="1" t="str">
        <f>+VLOOKUP(B170,'Maestro Personas'!$B$7:$G$105,6,0)</f>
        <v>Consultor/a - Comunicaciones</v>
      </c>
    </row>
    <row r="171" ht="15.75" customHeight="1">
      <c r="A171" s="6" t="s">
        <v>497</v>
      </c>
      <c r="B171" s="6" t="s">
        <v>66</v>
      </c>
      <c r="C171" s="6"/>
      <c r="D171" s="1" t="str">
        <f>+VLOOKUP(B171,'Maestro Personas'!$B$7:$C$105,2,0)</f>
        <v>10.818.275-k</v>
      </c>
      <c r="E171" s="1" t="str">
        <f>+VLOOKUP(B171,'Maestro Personas'!$B$7:$W$105,22,0)</f>
        <v>Felipe</v>
      </c>
      <c r="F171" s="1" t="str">
        <f>+VLOOKUP(B171,'Maestro Personas'!$B$7:$G$105,6,0)</f>
        <v>Socio</v>
      </c>
    </row>
    <row r="172" ht="15.75" customHeight="1">
      <c r="A172" s="6" t="s">
        <v>497</v>
      </c>
      <c r="B172" s="6" t="s">
        <v>494</v>
      </c>
      <c r="C172" s="6"/>
      <c r="D172" s="1" t="str">
        <f>+VLOOKUP(B172,'Maestro Personas'!$B$7:$C$105,2,0)</f>
        <v>13.682.547-k</v>
      </c>
      <c r="E172" s="1" t="str">
        <f>+VLOOKUP(B172,'Maestro Personas'!$B$7:$W$105,22,0)</f>
        <v>Rodrigo</v>
      </c>
      <c r="F172" s="1" t="str">
        <f>+VLOOKUP(B172,'Maestro Personas'!$B$7:$G$105,6,0)</f>
        <v>Consultor/a Senior - Prensa</v>
      </c>
    </row>
    <row r="173" ht="15.75" customHeight="1">
      <c r="A173" s="6" t="s">
        <v>497</v>
      </c>
      <c r="B173" s="6" t="s">
        <v>59</v>
      </c>
      <c r="C173" s="6"/>
      <c r="D173" s="1" t="str">
        <f>+VLOOKUP(B173,'Maestro Personas'!$B$7:$C$105,2,0)</f>
        <v>8.929.175-5</v>
      </c>
      <c r="E173" s="1" t="str">
        <f>+VLOOKUP(B173,'Maestro Personas'!$B$7:$W$105,22,0)</f>
        <v/>
      </c>
      <c r="F173" s="1" t="str">
        <f>+VLOOKUP(B173,'Maestro Personas'!$B$7:$G$105,6,0)</f>
        <v>Socio Director</v>
      </c>
    </row>
    <row r="174" ht="15.75" customHeight="1">
      <c r="A174" s="6" t="s">
        <v>497</v>
      </c>
      <c r="B174" s="6" t="s">
        <v>188</v>
      </c>
      <c r="C174" s="6"/>
      <c r="D174" s="1" t="str">
        <f>+VLOOKUP(B174,'Maestro Personas'!$B$7:$C$105,2,0)</f>
        <v>15.332.168-k</v>
      </c>
      <c r="E174" s="1" t="str">
        <f>+VLOOKUP(B174,'Maestro Personas'!$B$7:$W$105,22,0)</f>
        <v/>
      </c>
      <c r="F174" s="1" t="str">
        <f>+VLOOKUP(B174,'Maestro Personas'!$B$7:$G$105,6,0)</f>
        <v>Consultor/a Senior - Comunicaciones</v>
      </c>
    </row>
    <row r="175" ht="15.75" customHeight="1">
      <c r="A175" s="6" t="s">
        <v>497</v>
      </c>
      <c r="B175" s="6" t="s">
        <v>299</v>
      </c>
      <c r="C175" s="6"/>
      <c r="D175" s="1" t="str">
        <f>+VLOOKUP(B175,'Maestro Personas'!$B$7:$C$105,2,0)</f>
        <v>17.108.779-1</v>
      </c>
      <c r="E175" s="1" t="str">
        <f>+VLOOKUP(B175,'Maestro Personas'!$B$7:$W$105,22,0)</f>
        <v>Anita</v>
      </c>
      <c r="F175" s="1" t="str">
        <f>+VLOOKUP(B175,'Maestro Personas'!$B$7:$G$105,6,0)</f>
        <v>Ejecutivo/a - Comunicaciones</v>
      </c>
    </row>
    <row r="176" ht="15.75" customHeight="1">
      <c r="A176" s="6" t="s">
        <v>497</v>
      </c>
      <c r="B176" s="6" t="s">
        <v>225</v>
      </c>
      <c r="C176" s="6"/>
      <c r="D176" s="1" t="str">
        <f>+VLOOKUP(B176,'Maestro Personas'!$B$7:$C$105,2,0)</f>
        <v>20.783.188-3</v>
      </c>
      <c r="E176" s="1" t="str">
        <f>+VLOOKUP(B176,'Maestro Personas'!$B$7:$W$105,22,0)</f>
        <v>Belén</v>
      </c>
      <c r="F176" s="1" t="str">
        <f>+VLOOKUP(B176,'Maestro Personas'!$B$7:$G$105,6,0)</f>
        <v>Ejecutivo/a - Comunicaciones</v>
      </c>
    </row>
    <row r="177" ht="15.75" customHeight="1">
      <c r="A177" s="6" t="s">
        <v>497</v>
      </c>
      <c r="B177" s="6" t="s">
        <v>229</v>
      </c>
      <c r="C177" s="6"/>
      <c r="D177" s="1" t="str">
        <f>+VLOOKUP(B177,'Maestro Personas'!$B$7:$C$105,2,0)</f>
        <v>15.770.775-2</v>
      </c>
      <c r="E177" s="1" t="str">
        <f>+VLOOKUP(B177,'Maestro Personas'!$B$7:$W$105,22,0)</f>
        <v/>
      </c>
      <c r="F177" s="1" t="str">
        <f>+VLOOKUP(B177,'Maestro Personas'!$B$7:$G$105,6,0)</f>
        <v>Director/a - Comunicaciones</v>
      </c>
    </row>
    <row r="178" ht="15.75" customHeight="1">
      <c r="A178" s="6" t="s">
        <v>497</v>
      </c>
      <c r="B178" s="6" t="s">
        <v>168</v>
      </c>
      <c r="C178" s="6"/>
      <c r="D178" s="1" t="str">
        <f>+VLOOKUP(B178,'Maestro Personas'!$B$7:$C$105,2,0)</f>
        <v>17.248.821-8</v>
      </c>
      <c r="E178" s="1" t="str">
        <f>+VLOOKUP(B178,'Maestro Personas'!$B$7:$W$105,22,0)</f>
        <v>Paz</v>
      </c>
      <c r="F178" s="1" t="str">
        <f>+VLOOKUP(B178,'Maestro Personas'!$B$7:$G$105,6,0)</f>
        <v>Ejecutivo/a de Cuentas - Digital</v>
      </c>
    </row>
    <row r="179" ht="15.75" customHeight="1">
      <c r="A179" s="6" t="s">
        <v>497</v>
      </c>
      <c r="B179" s="6" t="s">
        <v>217</v>
      </c>
      <c r="C179" s="6"/>
      <c r="D179" s="1" t="str">
        <f>+VLOOKUP(B179,'Maestro Personas'!$B$7:$C$105,2,0)</f>
        <v>15.916.585-k</v>
      </c>
      <c r="E179" s="1" t="str">
        <f>+VLOOKUP(B179,'Maestro Personas'!$B$7:$W$105,22,0)</f>
        <v>Rafa</v>
      </c>
      <c r="F179" s="1" t="str">
        <f>+VLOOKUP(B179,'Maestro Personas'!$B$7:$G$105,6,0)</f>
        <v>Consultor/a - AAPP</v>
      </c>
    </row>
    <row r="180" ht="15.75" customHeight="1">
      <c r="A180" s="6" t="s">
        <v>497</v>
      </c>
      <c r="B180" s="6" t="s">
        <v>437</v>
      </c>
      <c r="C180" s="6"/>
      <c r="D180" s="1" t="str">
        <f>+VLOOKUP(B180,'Maestro Personas'!$B$7:$C$105,2,0)</f>
        <v>19.246.948-1</v>
      </c>
      <c r="E180" s="1" t="str">
        <f>+VLOOKUP(B180,'Maestro Personas'!$B$7:$W$105,22,0)</f>
        <v>Elisa o Eli</v>
      </c>
      <c r="F180" s="1" t="str">
        <f>+VLOOKUP(B180,'Maestro Personas'!$B$7:$G$105,6,0)</f>
        <v>Ejecutivo/a - Comunicaciones</v>
      </c>
    </row>
    <row r="181" ht="15.75" customHeight="1">
      <c r="A181" s="6" t="s">
        <v>497</v>
      </c>
      <c r="B181" s="6" t="s">
        <v>245</v>
      </c>
      <c r="C181" s="6"/>
      <c r="D181" s="1" t="str">
        <f>+VLOOKUP(B181,'Maestro Personas'!$B$7:$C$105,2,0)</f>
        <v>17.353.392-6</v>
      </c>
      <c r="E181" s="1" t="str">
        <f>+VLOOKUP(B181,'Maestro Personas'!$B$7:$W$105,22,0)</f>
        <v>Taqui</v>
      </c>
      <c r="F181" s="1" t="str">
        <f>+VLOOKUP(B181,'Maestro Personas'!$B$7:$G$105,6,0)</f>
        <v>Consultor/a Senior - Comunicaciones</v>
      </c>
    </row>
    <row r="182" ht="15.75" customHeight="1">
      <c r="A182" s="6" t="s">
        <v>497</v>
      </c>
      <c r="B182" s="6" t="s">
        <v>263</v>
      </c>
      <c r="C182" s="6"/>
      <c r="D182" s="1" t="str">
        <f>+VLOOKUP(B182,'Maestro Personas'!$B$7:$C$105,2,0)</f>
        <v>11.709.203-8</v>
      </c>
      <c r="E182" s="1" t="str">
        <f>+VLOOKUP(B182,'Maestro Personas'!$B$7:$W$105,22,0)</f>
        <v>Claudio</v>
      </c>
      <c r="F182" s="1" t="str">
        <f>+VLOOKUP(B182,'Maestro Personas'!$B$7:$G$105,6,0)</f>
        <v>Consultor/a Senior - AAPP</v>
      </c>
    </row>
    <row r="183" ht="15.75" customHeight="1">
      <c r="A183" s="6" t="s">
        <v>497</v>
      </c>
      <c r="B183" s="6" t="s">
        <v>133</v>
      </c>
      <c r="C183" s="6"/>
      <c r="D183" s="1" t="str">
        <f>+VLOOKUP(B183,'Maestro Personas'!$B$7:$C$105,2,0)</f>
        <v>15.959.738-5</v>
      </c>
      <c r="E183" s="1" t="str">
        <f>+VLOOKUP(B183,'Maestro Personas'!$B$7:$W$105,22,0)</f>
        <v>Javi</v>
      </c>
      <c r="F183" s="1" t="str">
        <f>+VLOOKUP(B183,'Maestro Personas'!$B$7:$G$105,6,0)</f>
        <v>Director/a - AAPP</v>
      </c>
    </row>
    <row r="184" ht="15.75" customHeight="1">
      <c r="A184" s="6" t="s">
        <v>1149</v>
      </c>
      <c r="B184" s="6" t="s">
        <v>40</v>
      </c>
      <c r="C184" s="6"/>
      <c r="D184" s="1" t="str">
        <f>+VLOOKUP(B184,'Maestro Personas'!$B$7:$C$105,2,0)</f>
        <v>9.766.376-9</v>
      </c>
      <c r="E184" s="1" t="str">
        <f>+VLOOKUP(B184,'Maestro Personas'!$B$7:$W$105,22,0)</f>
        <v>Cristina</v>
      </c>
      <c r="F184" s="1" t="str">
        <f>+VLOOKUP(B184,'Maestro Personas'!$B$7:$G$105,6,0)</f>
        <v>Socio</v>
      </c>
    </row>
    <row r="185" ht="15.75" customHeight="1">
      <c r="A185" s="6" t="s">
        <v>1149</v>
      </c>
      <c r="B185" s="6" t="s">
        <v>113</v>
      </c>
      <c r="C185" s="6"/>
      <c r="D185" s="1" t="str">
        <f>+VLOOKUP(B185,'Maestro Personas'!$B$7:$C$105,2,0)</f>
        <v>17.950.016-7</v>
      </c>
      <c r="E185" s="1" t="str">
        <f>+VLOOKUP(B185,'Maestro Personas'!$B$7:$W$105,22,0)</f>
        <v>Dani</v>
      </c>
      <c r="F185" s="1" t="str">
        <f>+VLOOKUP(B185,'Maestro Personas'!$B$7:$G$105,6,0)</f>
        <v>Director/a - AAPP</v>
      </c>
    </row>
    <row r="186" ht="15.75" customHeight="1">
      <c r="A186" s="6" t="s">
        <v>1149</v>
      </c>
      <c r="B186" s="6" t="s">
        <v>213</v>
      </c>
      <c r="C186" s="6"/>
      <c r="D186" s="1" t="str">
        <f>+VLOOKUP(B186,'Maestro Personas'!$B$7:$C$105,2,0)</f>
        <v>19.963.668-5</v>
      </c>
      <c r="E186" s="1" t="str">
        <f>+VLOOKUP(B186,'Maestro Personas'!$B$7:$W$105,22,0)</f>
        <v>Trini</v>
      </c>
      <c r="F186" s="1" t="str">
        <f>+VLOOKUP(B186,'Maestro Personas'!$B$7:$G$105,6,0)</f>
        <v>Ejecutivo/a - Comunicaciones</v>
      </c>
    </row>
    <row r="187" ht="15.75" customHeight="1">
      <c r="A187" s="6" t="s">
        <v>1149</v>
      </c>
      <c r="B187" s="6" t="s">
        <v>114</v>
      </c>
      <c r="C187" s="6"/>
      <c r="D187" s="1" t="str">
        <f>+VLOOKUP(B187,'Maestro Personas'!$B$7:$C$105,2,0)</f>
        <v>12.019.058-k</v>
      </c>
      <c r="E187" s="1" t="str">
        <f>+VLOOKUP(B187,'Maestro Personas'!$B$7:$W$105,22,0)</f>
        <v/>
      </c>
      <c r="F187" s="1" t="str">
        <f>+VLOOKUP(B187,'Maestro Personas'!$B$7:$G$105,6,0)</f>
        <v>Socio Director</v>
      </c>
    </row>
    <row r="188" ht="15.75" customHeight="1">
      <c r="A188" s="6" t="s">
        <v>1149</v>
      </c>
      <c r="B188" s="6" t="s">
        <v>229</v>
      </c>
      <c r="C188" s="6"/>
      <c r="D188" s="1" t="str">
        <f>+VLOOKUP(B188,'Maestro Personas'!$B$7:$C$105,2,0)</f>
        <v>15.770.775-2</v>
      </c>
      <c r="E188" s="1" t="str">
        <f>+VLOOKUP(B188,'Maestro Personas'!$B$7:$W$105,22,0)</f>
        <v/>
      </c>
      <c r="F188" s="1" t="str">
        <f>+VLOOKUP(B188,'Maestro Personas'!$B$7:$G$105,6,0)</f>
        <v>Director/a - Comunicaciones</v>
      </c>
    </row>
    <row r="189" ht="15.75" customHeight="1">
      <c r="A189" s="6" t="s">
        <v>1150</v>
      </c>
      <c r="B189" s="6" t="s">
        <v>395</v>
      </c>
      <c r="C189" s="6"/>
      <c r="D189" s="1" t="str">
        <f>+VLOOKUP(B189,'Maestro Personas'!$B$7:$C$105,2,0)</f>
        <v>18.636.911-4</v>
      </c>
      <c r="E189" s="1" t="str">
        <f>+VLOOKUP(B189,'Maestro Personas'!$B$7:$W$105,22,0)</f>
        <v>Nieves</v>
      </c>
      <c r="F189" s="1" t="str">
        <f>+VLOOKUP(B189,'Maestro Personas'!$B$7:$G$105,6,0)</f>
        <v>Ejecutivo/a - AAPP</v>
      </c>
    </row>
    <row r="190" ht="15.75" customHeight="1">
      <c r="A190" s="6" t="s">
        <v>1150</v>
      </c>
      <c r="B190" s="6" t="s">
        <v>73</v>
      </c>
      <c r="C190" s="6"/>
      <c r="D190" s="1" t="str">
        <f>+VLOOKUP(B190,'Maestro Personas'!$B$7:$C$105,2,0)</f>
        <v>16.282.327-2</v>
      </c>
      <c r="E190" s="1" t="str">
        <f>+VLOOKUP(B190,'Maestro Personas'!$B$7:$W$105,22,0)</f>
        <v>Jose, JM</v>
      </c>
      <c r="F190" s="1" t="str">
        <f>+VLOOKUP(B190,'Maestro Personas'!$B$7:$G$105,6,0)</f>
        <v>Socio Área Digital</v>
      </c>
    </row>
    <row r="191" ht="15.75" customHeight="1">
      <c r="A191" s="6" t="s">
        <v>1150</v>
      </c>
      <c r="B191" s="6" t="s">
        <v>160</v>
      </c>
      <c r="C191" s="6"/>
      <c r="D191" s="1" t="str">
        <f>+VLOOKUP(B191,'Maestro Personas'!$B$7:$C$105,2,0)</f>
        <v>17.407.755-k</v>
      </c>
      <c r="E191" s="1" t="str">
        <f>+VLOOKUP(B191,'Maestro Personas'!$B$7:$W$105,22,0)</f>
        <v>Stefano</v>
      </c>
      <c r="F191" s="1" t="str">
        <f>+VLOOKUP(B191,'Maestro Personas'!$B$7:$G$105,6,0)</f>
        <v>Consultor/a Senior - AAPP</v>
      </c>
    </row>
    <row r="192" ht="15.75" customHeight="1">
      <c r="A192" s="6" t="s">
        <v>1150</v>
      </c>
      <c r="B192" s="6" t="s">
        <v>40</v>
      </c>
      <c r="C192" s="6"/>
      <c r="D192" s="1" t="str">
        <f>+VLOOKUP(B192,'Maestro Personas'!$B$7:$C$105,2,0)</f>
        <v>9.766.376-9</v>
      </c>
      <c r="E192" s="1" t="str">
        <f>+VLOOKUP(B192,'Maestro Personas'!$B$7:$W$105,22,0)</f>
        <v>Cristina</v>
      </c>
      <c r="F192" s="1" t="str">
        <f>+VLOOKUP(B192,'Maestro Personas'!$B$7:$G$105,6,0)</f>
        <v>Socio</v>
      </c>
    </row>
    <row r="193" ht="15.75" customHeight="1">
      <c r="A193" s="6" t="s">
        <v>1150</v>
      </c>
      <c r="B193" s="6" t="s">
        <v>279</v>
      </c>
      <c r="C193" s="6"/>
      <c r="D193" s="1" t="str">
        <f>+VLOOKUP(B193,'Maestro Personas'!$B$7:$C$105,2,0)</f>
        <v>8.510.437-3</v>
      </c>
      <c r="E193" s="1" t="str">
        <f>+VLOOKUP(B193,'Maestro Personas'!$B$7:$W$105,22,0)</f>
        <v>Pablo</v>
      </c>
      <c r="F193" s="1" t="str">
        <f>+VLOOKUP(B193,'Maestro Personas'!$B$7:$G$105,6,0)</f>
        <v>Consultor/a Senior - Comunicaciones</v>
      </c>
    </row>
    <row r="194" ht="15.75" customHeight="1">
      <c r="A194" s="6" t="s">
        <v>1150</v>
      </c>
      <c r="B194" s="6" t="s">
        <v>318</v>
      </c>
      <c r="C194" s="6"/>
      <c r="D194" s="1" t="str">
        <f>+VLOOKUP(B194,'Maestro Personas'!$B$7:$C$105,2,0)</f>
        <v>13.955.054-4</v>
      </c>
      <c r="E194" s="1" t="str">
        <f>+VLOOKUP(B194,'Maestro Personas'!$B$7:$W$105,22,0)</f>
        <v>César</v>
      </c>
      <c r="F194" s="1" t="str">
        <f>+VLOOKUP(B194,'Maestro Personas'!$B$7:$G$105,6,0)</f>
        <v>Director/a Senior - Comunicaciones</v>
      </c>
    </row>
    <row r="195" ht="15.75" customHeight="1">
      <c r="A195" s="6" t="s">
        <v>1151</v>
      </c>
      <c r="B195" s="6" t="s">
        <v>144</v>
      </c>
      <c r="C195" s="6"/>
      <c r="D195" s="1" t="str">
        <f>+VLOOKUP(B195,'Maestro Personas'!$B$7:$C$105,2,0)</f>
        <v>15.341.075-5</v>
      </c>
      <c r="E195" s="1" t="str">
        <f>+VLOOKUP(B195,'Maestro Personas'!$B$7:$W$105,22,0)</f>
        <v>Lisette</v>
      </c>
      <c r="F195" s="1" t="str">
        <f>+VLOOKUP(B195,'Maestro Personas'!$B$7:$G$105,6,0)</f>
        <v>Socio Director</v>
      </c>
    </row>
    <row r="196" ht="15.75" customHeight="1">
      <c r="A196" s="6" t="s">
        <v>1151</v>
      </c>
      <c r="B196" s="6" t="s">
        <v>225</v>
      </c>
      <c r="C196" s="6"/>
      <c r="D196" s="1" t="str">
        <f>+VLOOKUP(B196,'Maestro Personas'!$B$7:$C$105,2,0)</f>
        <v>20.783.188-3</v>
      </c>
      <c r="E196" s="1" t="str">
        <f>+VLOOKUP(B196,'Maestro Personas'!$B$7:$W$105,22,0)</f>
        <v>Belén</v>
      </c>
      <c r="F196" s="1" t="str">
        <f>+VLOOKUP(B196,'Maestro Personas'!$B$7:$G$105,6,0)</f>
        <v>Ejecutivo/a - Comunicaciones</v>
      </c>
    </row>
    <row r="197" ht="15.75" customHeight="1">
      <c r="A197" s="6" t="s">
        <v>1151</v>
      </c>
      <c r="B197" s="6" t="s">
        <v>347</v>
      </c>
      <c r="C197" s="6"/>
      <c r="D197" s="1" t="str">
        <f>+VLOOKUP(B197,'Maestro Personas'!$B$7:$C$105,2,0)</f>
        <v>20.197.117-9</v>
      </c>
      <c r="E197" s="1" t="str">
        <f>+VLOOKUP(B197,'Maestro Personas'!$B$7:$W$105,22,0)</f>
        <v>Vale</v>
      </c>
      <c r="F197" s="1" t="str">
        <f>+VLOOKUP(B197,'Maestro Personas'!$B$7:$G$105,6,0)</f>
        <v>Ejecutivo/a - Comunicaciones</v>
      </c>
    </row>
    <row r="198" ht="15.75" customHeight="1">
      <c r="A198" s="6" t="s">
        <v>1151</v>
      </c>
      <c r="B198" s="6" t="s">
        <v>352</v>
      </c>
      <c r="C198" s="6"/>
      <c r="D198" s="1" t="str">
        <f>+VLOOKUP(B198,'Maestro Personas'!$B$7:$C$105,2,0)</f>
        <v>15.642.655-5</v>
      </c>
      <c r="E198" s="1" t="str">
        <f>+VLOOKUP(B198,'Maestro Personas'!$B$7:$W$105,22,0)</f>
        <v>Maca</v>
      </c>
      <c r="F198" s="1" t="str">
        <f>+VLOOKUP(B198,'Maestro Personas'!$B$7:$G$105,6,0)</f>
        <v>Director/a - Comunicaciones</v>
      </c>
    </row>
    <row r="199" ht="15.75" customHeight="1">
      <c r="A199" s="6" t="s">
        <v>1152</v>
      </c>
      <c r="B199" s="6" t="s">
        <v>30</v>
      </c>
      <c r="C199" s="6"/>
      <c r="D199" s="1" t="str">
        <f>+VLOOKUP(B199,'Maestro Personas'!$B$7:$C$105,2,0)</f>
        <v>19.300.070-3</v>
      </c>
      <c r="E199" s="1" t="str">
        <f>+VLOOKUP(B199,'Maestro Personas'!$B$7:$W$105,22,0)</f>
        <v>Sandra</v>
      </c>
      <c r="F199" s="1" t="str">
        <f>+VLOOKUP(B199,'Maestro Personas'!$B$7:$G$105,6,0)</f>
        <v>Consultores - Digital</v>
      </c>
    </row>
    <row r="200" ht="15.75" customHeight="1">
      <c r="A200" s="6" t="s">
        <v>1152</v>
      </c>
      <c r="B200" s="6" t="s">
        <v>403</v>
      </c>
      <c r="C200" s="6"/>
      <c r="D200" s="1" t="str">
        <f>+VLOOKUP(B200,'Maestro Personas'!$B$7:$C$105,2,0)</f>
        <v>16.468.441-5</v>
      </c>
      <c r="E200" s="1" t="str">
        <f>+VLOOKUP(B200,'Maestro Personas'!$B$7:$W$105,22,0)</f>
        <v>Romi</v>
      </c>
      <c r="F200" s="1" t="str">
        <f>+VLOOKUP(B200,'Maestro Personas'!$B$7:$G$105,6,0)</f>
        <v>Director/a - Comunicaciones</v>
      </c>
    </row>
    <row r="201" ht="15.75" customHeight="1">
      <c r="A201" s="6" t="s">
        <v>1152</v>
      </c>
      <c r="B201" s="6" t="s">
        <v>148</v>
      </c>
      <c r="C201" s="6"/>
      <c r="D201" s="1" t="str">
        <f>+VLOOKUP(B201,'Maestro Personas'!$B$7:$C$105,2,0)</f>
        <v>27.028.873-1</v>
      </c>
      <c r="E201" s="1" t="str">
        <f>+VLOOKUP(B201,'Maestro Personas'!$B$7:$W$105,22,0)</f>
        <v>Ali o Alice</v>
      </c>
      <c r="F201" s="1" t="str">
        <f>+VLOOKUP(B201,'Maestro Personas'!$B$7:$G$105,6,0)</f>
        <v>Consultores Senior - Digital</v>
      </c>
    </row>
    <row r="202" ht="15.75" customHeight="1">
      <c r="A202" s="6" t="s">
        <v>1152</v>
      </c>
      <c r="B202" s="6" t="s">
        <v>294</v>
      </c>
      <c r="C202" s="6"/>
      <c r="D202" s="1" t="str">
        <f>+VLOOKUP(B202,'Maestro Personas'!$B$7:$C$105,2,0)</f>
        <v>10.059.648-2</v>
      </c>
      <c r="E202" s="1" t="str">
        <f>+VLOOKUP(B202,'Maestro Personas'!$B$7:$W$105,22,0)</f>
        <v/>
      </c>
      <c r="F202" s="1" t="str">
        <f>+VLOOKUP(B202,'Maestro Personas'!$B$7:$G$105,6,0)</f>
        <v>Consultor/a Senior - AAPP</v>
      </c>
    </row>
    <row r="203" ht="15.75" customHeight="1">
      <c r="A203" s="6" t="s">
        <v>1152</v>
      </c>
      <c r="B203" s="6" t="s">
        <v>188</v>
      </c>
      <c r="C203" s="6"/>
      <c r="D203" s="1" t="str">
        <f>+VLOOKUP(B203,'Maestro Personas'!$B$7:$C$105,2,0)</f>
        <v>15.332.168-k</v>
      </c>
      <c r="E203" s="1" t="str">
        <f>+VLOOKUP(B203,'Maestro Personas'!$B$7:$W$105,22,0)</f>
        <v/>
      </c>
      <c r="F203" s="1" t="str">
        <f>+VLOOKUP(B203,'Maestro Personas'!$B$7:$G$105,6,0)</f>
        <v>Consultor/a Senior - Comunicaciones</v>
      </c>
    </row>
    <row r="204" ht="15.75" customHeight="1">
      <c r="A204" s="6" t="s">
        <v>1152</v>
      </c>
      <c r="B204" s="6" t="s">
        <v>144</v>
      </c>
      <c r="C204" s="6"/>
      <c r="D204" s="1" t="str">
        <f>+VLOOKUP(B204,'Maestro Personas'!$B$7:$C$105,2,0)</f>
        <v>15.341.075-5</v>
      </c>
      <c r="E204" s="1" t="str">
        <f>+VLOOKUP(B204,'Maestro Personas'!$B$7:$W$105,22,0)</f>
        <v>Lisette</v>
      </c>
      <c r="F204" s="1" t="str">
        <f>+VLOOKUP(B204,'Maestro Personas'!$B$7:$G$105,6,0)</f>
        <v>Socio Director</v>
      </c>
    </row>
    <row r="205" ht="15.75" customHeight="1">
      <c r="A205" s="6" t="s">
        <v>1152</v>
      </c>
      <c r="B205" s="6" t="s">
        <v>122</v>
      </c>
      <c r="C205" s="6"/>
      <c r="D205" s="1" t="str">
        <f>+VLOOKUP(B205,'Maestro Personas'!$B$7:$C$105,2,0)</f>
        <v>26.965.314-0</v>
      </c>
      <c r="E205" s="1" t="str">
        <f>+VLOOKUP(B205,'Maestro Personas'!$B$7:$W$105,22,0)</f>
        <v>Reimar, Rei</v>
      </c>
      <c r="F205" s="1" t="str">
        <f>+VLOOKUP(B205,'Maestro Personas'!$B$7:$G$105,6,0)</f>
        <v>Ejecutivo/a de Cuentas - Digital</v>
      </c>
    </row>
    <row r="206" ht="15.75" customHeight="1">
      <c r="A206" s="6" t="s">
        <v>1152</v>
      </c>
      <c r="B206" s="6" t="s">
        <v>241</v>
      </c>
      <c r="C206" s="6"/>
      <c r="D206" s="1" t="str">
        <f>+VLOOKUP(B206,'Maestro Personas'!$B$7:$C$105,2,0)</f>
        <v>21.412.373-8</v>
      </c>
      <c r="E206" s="1" t="str">
        <f>+VLOOKUP(B206,'Maestro Personas'!$B$7:$W$105,22,0)</f>
        <v>Fran</v>
      </c>
      <c r="F206" s="1" t="str">
        <f>+VLOOKUP(B206,'Maestro Personas'!$B$7:$G$105,6,0)</f>
        <v>Trainee</v>
      </c>
    </row>
    <row r="207" ht="15.75" customHeight="1">
      <c r="A207" s="6" t="s">
        <v>1152</v>
      </c>
      <c r="B207" s="6" t="s">
        <v>343</v>
      </c>
      <c r="C207" s="6"/>
      <c r="D207" s="1" t="str">
        <f>+VLOOKUP(B207,'Maestro Personas'!$B$7:$C$105,2,0)</f>
        <v>17.028.885-8</v>
      </c>
      <c r="E207" s="1" t="str">
        <f>+VLOOKUP(B207,'Maestro Personas'!$B$7:$W$105,22,0)</f>
        <v>Mane</v>
      </c>
      <c r="F207" s="1" t="str">
        <f>+VLOOKUP(B207,'Maestro Personas'!$B$7:$G$105,6,0)</f>
        <v>Consultor/a Senior - Comunicaciones</v>
      </c>
    </row>
    <row r="208" ht="15.75" customHeight="1">
      <c r="A208" s="6" t="s">
        <v>1152</v>
      </c>
      <c r="B208" s="6" t="s">
        <v>256</v>
      </c>
      <c r="C208" s="6"/>
      <c r="D208" s="1" t="str">
        <f>+VLOOKUP(B208,'Maestro Personas'!$B$7:$C$105,2,0)</f>
        <v>20.165.428-9</v>
      </c>
      <c r="E208" s="1" t="str">
        <f>+VLOOKUP(B208,'Maestro Personas'!$B$7:$W$105,22,0)</f>
        <v>Jo</v>
      </c>
      <c r="F208" s="1" t="str">
        <f>+VLOOKUP(B208,'Maestro Personas'!$B$7:$G$105,6,0)</f>
        <v>Ejecutivo/a - Comunicaciones</v>
      </c>
    </row>
    <row r="209" ht="15.75" customHeight="1">
      <c r="A209" s="6" t="s">
        <v>1152</v>
      </c>
      <c r="B209" s="6" t="s">
        <v>362</v>
      </c>
      <c r="C209" s="6"/>
      <c r="D209" s="1" t="str">
        <f>+VLOOKUP(B209,'Maestro Personas'!$B$7:$C$105,2,0)</f>
        <v>19.960.344-2</v>
      </c>
      <c r="E209" s="1" t="str">
        <f>+VLOOKUP(B209,'Maestro Personas'!$B$7:$W$105,22,0)</f>
        <v>Benjamín</v>
      </c>
      <c r="F209" s="1" t="str">
        <f>+VLOOKUP(B209,'Maestro Personas'!$B$7:$G$105,6,0)</f>
        <v>Consultor/a - Comunicaciones</v>
      </c>
    </row>
    <row r="210" ht="15.75" customHeight="1">
      <c r="A210" s="6" t="s">
        <v>1153</v>
      </c>
      <c r="B210" s="6" t="s">
        <v>40</v>
      </c>
      <c r="C210" s="6"/>
      <c r="D210" s="1" t="str">
        <f>+VLOOKUP(B210,'Maestro Personas'!$B$7:$C$105,2,0)</f>
        <v>9.766.376-9</v>
      </c>
      <c r="E210" s="1" t="str">
        <f>+VLOOKUP(B210,'Maestro Personas'!$B$7:$W$105,22,0)</f>
        <v>Cristina</v>
      </c>
      <c r="F210" s="1" t="str">
        <f>+VLOOKUP(B210,'Maestro Personas'!$B$7:$G$105,6,0)</f>
        <v>Socio</v>
      </c>
    </row>
    <row r="211" ht="15.75" customHeight="1">
      <c r="A211" s="6" t="s">
        <v>1153</v>
      </c>
      <c r="B211" s="6" t="s">
        <v>127</v>
      </c>
      <c r="C211" s="6"/>
      <c r="D211" s="1" t="str">
        <f>+VLOOKUP(B211,'Maestro Personas'!$B$7:$C$105,2,0)</f>
        <v>20.909.557-2</v>
      </c>
      <c r="E211" s="1" t="str">
        <f>+VLOOKUP(B211,'Maestro Personas'!$B$7:$W$105,22,0)</f>
        <v/>
      </c>
      <c r="F211" s="1" t="str">
        <f>+VLOOKUP(B211,'Maestro Personas'!$B$7:$G$105,6,0)</f>
        <v>Trainee</v>
      </c>
    </row>
    <row r="212" ht="15.75" customHeight="1">
      <c r="A212" s="6" t="s">
        <v>1153</v>
      </c>
      <c r="B212" s="6" t="s">
        <v>59</v>
      </c>
      <c r="C212" s="6"/>
      <c r="D212" s="1" t="str">
        <f>+VLOOKUP(B212,'Maestro Personas'!$B$7:$C$105,2,0)</f>
        <v>8.929.175-5</v>
      </c>
      <c r="E212" s="1" t="str">
        <f>+VLOOKUP(B212,'Maestro Personas'!$B$7:$W$105,22,0)</f>
        <v/>
      </c>
      <c r="F212" s="1" t="str">
        <f>+VLOOKUP(B212,'Maestro Personas'!$B$7:$G$105,6,0)</f>
        <v>Socio Director</v>
      </c>
    </row>
    <row r="213" ht="15.75" customHeight="1">
      <c r="A213" s="6" t="s">
        <v>1153</v>
      </c>
      <c r="B213" s="6" t="s">
        <v>83</v>
      </c>
      <c r="C213" s="6"/>
      <c r="D213" s="1" t="str">
        <f>+VLOOKUP(B213,'Maestro Personas'!$B$7:$C$105,2,0)</f>
        <v>14.045.482-6</v>
      </c>
      <c r="E213" s="1" t="str">
        <f>+VLOOKUP(B213,'Maestro Personas'!$B$7:$W$105,22,0)</f>
        <v>Ian</v>
      </c>
      <c r="F213" s="1" t="str">
        <f>+VLOOKUP(B213,'Maestro Personas'!$B$7:$G$105,6,0)</f>
        <v>Socio Director</v>
      </c>
    </row>
    <row r="214" ht="15.75" customHeight="1">
      <c r="A214" s="6" t="s">
        <v>1153</v>
      </c>
      <c r="B214" s="6" t="s">
        <v>150</v>
      </c>
      <c r="C214" s="6"/>
      <c r="D214" s="1" t="str">
        <f>+VLOOKUP(B214,'Maestro Personas'!$B$7:$C$105,2,0)</f>
        <v>18.588.568-2</v>
      </c>
      <c r="E214" s="1" t="str">
        <f>+VLOOKUP(B214,'Maestro Personas'!$B$7:$W$105,22,0)</f>
        <v>Ana</v>
      </c>
      <c r="F214" s="1" t="str">
        <f>+VLOOKUP(B214,'Maestro Personas'!$B$7:$G$105,6,0)</f>
        <v>Consultor/a - AAPP</v>
      </c>
    </row>
    <row r="215" ht="15.75" customHeight="1">
      <c r="A215" s="6" t="s">
        <v>1153</v>
      </c>
      <c r="B215" s="6" t="s">
        <v>133</v>
      </c>
      <c r="C215" s="6"/>
      <c r="D215" s="1" t="str">
        <f>+VLOOKUP(B215,'Maestro Personas'!$B$7:$C$105,2,0)</f>
        <v>15.959.738-5</v>
      </c>
      <c r="E215" s="1" t="str">
        <f>+VLOOKUP(B215,'Maestro Personas'!$B$7:$W$105,22,0)</f>
        <v>Javi</v>
      </c>
      <c r="F215" s="1" t="str">
        <f>+VLOOKUP(B215,'Maestro Personas'!$B$7:$G$105,6,0)</f>
        <v>Director/a - AAPP</v>
      </c>
    </row>
    <row r="216" ht="15.75" customHeight="1">
      <c r="A216" s="6" t="s">
        <v>1153</v>
      </c>
      <c r="B216" s="6" t="s">
        <v>151</v>
      </c>
      <c r="C216" s="6"/>
      <c r="D216" s="1" t="str">
        <f>+VLOOKUP(B216,'Maestro Personas'!$B$7:$C$105,2,0)</f>
        <v>14.533.402-0</v>
      </c>
      <c r="E216" s="1" t="str">
        <f>+VLOOKUP(B216,'Maestro Personas'!$B$7:$W$105,22,0)</f>
        <v>Pablo</v>
      </c>
      <c r="F216" s="1" t="str">
        <f>+VLOOKUP(B216,'Maestro Personas'!$B$7:$G$105,6,0)</f>
        <v>Consultor/a Senior - AAPP</v>
      </c>
    </row>
    <row r="217" ht="15.75" customHeight="1">
      <c r="A217" s="6" t="s">
        <v>1154</v>
      </c>
      <c r="B217" s="6" t="s">
        <v>73</v>
      </c>
      <c r="C217" s="6"/>
      <c r="D217" s="1" t="str">
        <f>+VLOOKUP(B217,'Maestro Personas'!$B$7:$C$105,2,0)</f>
        <v>16.282.327-2</v>
      </c>
      <c r="E217" s="1" t="str">
        <f>+VLOOKUP(B217,'Maestro Personas'!$B$7:$W$105,22,0)</f>
        <v>Jose, JM</v>
      </c>
      <c r="F217" s="1" t="str">
        <f>+VLOOKUP(B217,'Maestro Personas'!$B$7:$G$105,6,0)</f>
        <v>Socio Área Digital</v>
      </c>
    </row>
    <row r="218" ht="15.75" customHeight="1">
      <c r="A218" s="6" t="s">
        <v>1154</v>
      </c>
      <c r="B218" s="6" t="s">
        <v>61</v>
      </c>
      <c r="C218" s="6"/>
      <c r="D218" s="1" t="str">
        <f>+VLOOKUP(B218,'Maestro Personas'!$B$7:$C$105,2,0)</f>
        <v>12.454.685-0</v>
      </c>
      <c r="E218" s="1" t="str">
        <f>+VLOOKUP(B218,'Maestro Personas'!$B$7:$W$105,22,0)</f>
        <v>Vic</v>
      </c>
      <c r="F218" s="1" t="str">
        <f>+VLOOKUP(B218,'Maestro Personas'!$B$7:$G$105,6,0)</f>
        <v>Socio Director</v>
      </c>
    </row>
    <row r="219" ht="15.75" customHeight="1">
      <c r="A219" s="6" t="s">
        <v>1154</v>
      </c>
      <c r="B219" s="6" t="s">
        <v>127</v>
      </c>
      <c r="C219" s="6"/>
      <c r="D219" s="1" t="str">
        <f>+VLOOKUP(B219,'Maestro Personas'!$B$7:$C$105,2,0)</f>
        <v>20.909.557-2</v>
      </c>
      <c r="E219" s="1" t="str">
        <f>+VLOOKUP(B219,'Maestro Personas'!$B$7:$W$105,22,0)</f>
        <v/>
      </c>
      <c r="F219" s="1" t="str">
        <f>+VLOOKUP(B219,'Maestro Personas'!$B$7:$G$105,6,0)</f>
        <v>Trainee</v>
      </c>
    </row>
    <row r="220" ht="15.75" customHeight="1">
      <c r="A220" s="6" t="s">
        <v>1154</v>
      </c>
      <c r="B220" s="6" t="s">
        <v>131</v>
      </c>
      <c r="C220" s="6"/>
      <c r="D220" s="1" t="str">
        <f>+VLOOKUP(B220,'Maestro Personas'!$B$7:$C$105,2,0)</f>
        <v>19.293.473-7</v>
      </c>
      <c r="E220" s="1" t="str">
        <f>+VLOOKUP(B220,'Maestro Personas'!$B$7:$W$105,22,0)</f>
        <v>Martina</v>
      </c>
      <c r="F220" s="1" t="str">
        <f>+VLOOKUP(B220,'Maestro Personas'!$B$7:$G$105,6,0)</f>
        <v>Consultor/a - Comunicaciones</v>
      </c>
    </row>
    <row r="221" ht="15.75" customHeight="1">
      <c r="A221" s="6" t="s">
        <v>1154</v>
      </c>
      <c r="B221" s="6" t="s">
        <v>328</v>
      </c>
      <c r="C221" s="6"/>
      <c r="D221" s="1" t="str">
        <f>+VLOOKUP(B221,'Maestro Personas'!$B$7:$C$105,2,0)</f>
        <v>19.242.632-4</v>
      </c>
      <c r="E221" s="1" t="str">
        <f>+VLOOKUP(B221,'Maestro Personas'!$B$7:$W$105,22,0)</f>
        <v>Ignacio</v>
      </c>
      <c r="F221" s="1" t="str">
        <f>+VLOOKUP(B221,'Maestro Personas'!$B$7:$G$105,6,0)</f>
        <v>Ejecutivo/a - Comunicaciones</v>
      </c>
    </row>
    <row r="222" ht="15.75" customHeight="1">
      <c r="A222" s="6" t="s">
        <v>1154</v>
      </c>
      <c r="B222" s="6" t="s">
        <v>148</v>
      </c>
      <c r="C222" s="6"/>
      <c r="D222" s="1" t="str">
        <f>+VLOOKUP(B222,'Maestro Personas'!$B$7:$C$105,2,0)</f>
        <v>27.028.873-1</v>
      </c>
      <c r="E222" s="1" t="str">
        <f>+VLOOKUP(B222,'Maestro Personas'!$B$7:$W$105,22,0)</f>
        <v>Ali o Alice</v>
      </c>
      <c r="F222" s="1" t="str">
        <f>+VLOOKUP(B222,'Maestro Personas'!$B$7:$G$105,6,0)</f>
        <v>Consultores Senior - Digital</v>
      </c>
    </row>
    <row r="223" ht="15.75" customHeight="1">
      <c r="A223" s="6" t="s">
        <v>1154</v>
      </c>
      <c r="B223" s="6" t="s">
        <v>195</v>
      </c>
      <c r="C223" s="6"/>
      <c r="D223" s="1" t="str">
        <f>+VLOOKUP(B223,'Maestro Personas'!$B$7:$C$105,2,0)</f>
        <v>17.029.247-2</v>
      </c>
      <c r="E223" s="1" t="str">
        <f>+VLOOKUP(B223,'Maestro Personas'!$B$7:$W$105,22,0)</f>
        <v>Felipe</v>
      </c>
      <c r="F223" s="1" t="str">
        <f>+VLOOKUP(B223,'Maestro Personas'!$B$7:$G$105,6,0)</f>
        <v>Consultores - Digital</v>
      </c>
    </row>
    <row r="224" ht="15.75" customHeight="1">
      <c r="A224" s="6" t="s">
        <v>1154</v>
      </c>
      <c r="B224" s="6" t="s">
        <v>252</v>
      </c>
      <c r="C224" s="6"/>
      <c r="D224" s="1" t="str">
        <f>+VLOOKUP(B224,'Maestro Personas'!$B$7:$C$105,2,0)</f>
        <v>19.876.073-0</v>
      </c>
      <c r="E224" s="1" t="str">
        <f>+VLOOKUP(B224,'Maestro Personas'!$B$7:$W$105,22,0)</f>
        <v>Javi</v>
      </c>
      <c r="F224" s="1" t="str">
        <f>+VLOOKUP(B224,'Maestro Personas'!$B$7:$G$105,6,0)</f>
        <v>Consultores Senior - Digital</v>
      </c>
    </row>
    <row r="225" ht="15.75" customHeight="1">
      <c r="A225" s="6" t="s">
        <v>1154</v>
      </c>
      <c r="B225" s="6" t="s">
        <v>416</v>
      </c>
      <c r="C225" s="6"/>
      <c r="D225" s="1" t="str">
        <f>+VLOOKUP(B225,'Maestro Personas'!$B$7:$C$105,2,0)</f>
        <v>15.318.696-0</v>
      </c>
      <c r="E225" s="1" t="str">
        <f>+VLOOKUP(B225,'Maestro Personas'!$B$7:$W$105,22,0)</f>
        <v>Pau</v>
      </c>
      <c r="F225" s="1" t="str">
        <f>+VLOOKUP(B225,'Maestro Personas'!$B$7:$G$105,6,0)</f>
        <v>Director/a Senior - Comunicaciones</v>
      </c>
    </row>
    <row r="226" ht="15.75" customHeight="1">
      <c r="A226" s="6" t="s">
        <v>1154</v>
      </c>
      <c r="B226" s="6" t="s">
        <v>304</v>
      </c>
      <c r="C226" s="6"/>
      <c r="D226" s="1" t="str">
        <f>+VLOOKUP(B226,'Maestro Personas'!$B$7:$C$105,2,0)</f>
        <v>17.403.134-7</v>
      </c>
      <c r="E226" s="1" t="str">
        <f>+VLOOKUP(B226,'Maestro Personas'!$B$7:$W$105,22,0)</f>
        <v>Stefano</v>
      </c>
      <c r="F226" s="1" t="str">
        <f>+VLOOKUP(B226,'Maestro Personas'!$B$7:$G$105,6,0)</f>
        <v>Director - Digital</v>
      </c>
    </row>
    <row r="227" ht="15.75" customHeight="1">
      <c r="A227" s="6" t="s">
        <v>1154</v>
      </c>
      <c r="B227" s="6" t="s">
        <v>171</v>
      </c>
      <c r="C227" s="6"/>
      <c r="D227" s="1" t="str">
        <f>+VLOOKUP(B227,'Maestro Personas'!$B$7:$C$105,2,0)</f>
        <v>18.956.291-8</v>
      </c>
      <c r="E227" s="1" t="str">
        <f>+VLOOKUP(B227,'Maestro Personas'!$B$7:$W$105,22,0)</f>
        <v>Javi</v>
      </c>
      <c r="F227" s="1" t="str">
        <f>+VLOOKUP(B227,'Maestro Personas'!$B$7:$G$105,6,0)</f>
        <v>Ejecutivo/a de Cuentas - Digital</v>
      </c>
    </row>
    <row r="228" ht="15.75" customHeight="1">
      <c r="A228" s="6" t="s">
        <v>1154</v>
      </c>
      <c r="B228" s="6" t="s">
        <v>150</v>
      </c>
      <c r="C228" s="6"/>
      <c r="D228" s="1" t="str">
        <f>+VLOOKUP(B228,'Maestro Personas'!$B$7:$C$105,2,0)</f>
        <v>18.588.568-2</v>
      </c>
      <c r="E228" s="1" t="str">
        <f>+VLOOKUP(B228,'Maestro Personas'!$B$7:$W$105,22,0)</f>
        <v>Ana</v>
      </c>
      <c r="F228" s="1" t="str">
        <f>+VLOOKUP(B228,'Maestro Personas'!$B$7:$G$105,6,0)</f>
        <v>Consultor/a - AAPP</v>
      </c>
    </row>
    <row r="229" ht="15.75" customHeight="1">
      <c r="A229" s="6" t="s">
        <v>1154</v>
      </c>
      <c r="B229" s="6" t="s">
        <v>122</v>
      </c>
      <c r="C229" s="6"/>
      <c r="D229" s="1" t="str">
        <f>+VLOOKUP(B229,'Maestro Personas'!$B$7:$C$105,2,0)</f>
        <v>26.965.314-0</v>
      </c>
      <c r="E229" s="1" t="str">
        <f>+VLOOKUP(B229,'Maestro Personas'!$B$7:$W$105,22,0)</f>
        <v>Reimar, Rei</v>
      </c>
      <c r="F229" s="1" t="str">
        <f>+VLOOKUP(B229,'Maestro Personas'!$B$7:$G$105,6,0)</f>
        <v>Ejecutivo/a de Cuentas - Digital</v>
      </c>
    </row>
    <row r="230" ht="15.75" customHeight="1">
      <c r="A230" s="6" t="s">
        <v>1154</v>
      </c>
      <c r="B230" s="6" t="s">
        <v>313</v>
      </c>
      <c r="C230" s="6"/>
      <c r="D230" s="1" t="str">
        <f>+VLOOKUP(B230,'Maestro Personas'!$B$7:$C$105,2,0)</f>
        <v>10.321.885-3</v>
      </c>
      <c r="E230" s="1" t="str">
        <f>+VLOOKUP(B230,'Maestro Personas'!$B$7:$W$105,22,0)</f>
        <v>Toño</v>
      </c>
      <c r="F230" s="1" t="str">
        <f>+VLOOKUP(B230,'Maestro Personas'!$B$7:$G$105,6,0)</f>
        <v>Consultores Senior - Digital</v>
      </c>
    </row>
    <row r="231" ht="15.75" customHeight="1">
      <c r="A231" s="6" t="s">
        <v>1154</v>
      </c>
      <c r="B231" s="6" t="s">
        <v>133</v>
      </c>
      <c r="C231" s="6"/>
      <c r="D231" s="1" t="str">
        <f>+VLOOKUP(B231,'Maestro Personas'!$B$7:$C$105,2,0)</f>
        <v>15.959.738-5</v>
      </c>
      <c r="E231" s="1" t="str">
        <f>+VLOOKUP(B231,'Maestro Personas'!$B$7:$W$105,22,0)</f>
        <v>Javi</v>
      </c>
      <c r="F231" s="1" t="str">
        <f>+VLOOKUP(B231,'Maestro Personas'!$B$7:$G$105,6,0)</f>
        <v>Director/a - AAPP</v>
      </c>
    </row>
    <row r="232" ht="15.75" customHeight="1">
      <c r="A232" s="6" t="s">
        <v>1154</v>
      </c>
      <c r="B232" s="6" t="s">
        <v>445</v>
      </c>
      <c r="C232" s="6"/>
      <c r="D232" s="1" t="str">
        <f>+VLOOKUP(B232,'Maestro Personas'!$B$7:$C$105,2,0)</f>
        <v>18.497.525-4</v>
      </c>
      <c r="E232" s="1" t="str">
        <f>+VLOOKUP(B232,'Maestro Personas'!$B$7:$W$105,22,0)</f>
        <v>Javi</v>
      </c>
      <c r="F232" s="1" t="str">
        <f>+VLOOKUP(B232,'Maestro Personas'!$B$7:$G$105,6,0)</f>
        <v>Ejecutivo/a de Cuentas - Digital</v>
      </c>
    </row>
    <row r="233" ht="15.75" customHeight="1">
      <c r="A233" s="6" t="s">
        <v>1155</v>
      </c>
      <c r="B233" s="6" t="s">
        <v>203</v>
      </c>
      <c r="C233" s="6"/>
      <c r="D233" s="1" t="str">
        <f>+VLOOKUP(B233,'Maestro Personas'!$B$7:$C$105,2,0)</f>
        <v>8.344.585-8</v>
      </c>
      <c r="E233" s="1" t="str">
        <f>+VLOOKUP(B233,'Maestro Personas'!$B$7:$W$105,22,0)</f>
        <v>Bego</v>
      </c>
      <c r="F233" s="1" t="str">
        <f>+VLOOKUP(B233,'Maestro Personas'!$B$7:$G$105,6,0)</f>
        <v>Socio Director</v>
      </c>
    </row>
    <row r="234" ht="15.75" customHeight="1">
      <c r="A234" s="6" t="s">
        <v>1155</v>
      </c>
      <c r="B234" s="6" t="s">
        <v>486</v>
      </c>
      <c r="C234" s="6"/>
      <c r="D234" s="1" t="str">
        <f>+VLOOKUP(B234,'Maestro Personas'!$B$7:$C$105,2,0)</f>
        <v>12.234.918-7</v>
      </c>
      <c r="E234" s="1" t="str">
        <f>+VLOOKUP(B234,'Maestro Personas'!$B$7:$W$105,22,0)</f>
        <v>Kati</v>
      </c>
      <c r="F234" s="1" t="str">
        <f>+VLOOKUP(B234,'Maestro Personas'!$B$7:$G$105,6,0)</f>
        <v>Director/a - Prensa</v>
      </c>
    </row>
    <row r="235" ht="15.75" customHeight="1">
      <c r="A235" s="6" t="s">
        <v>1155</v>
      </c>
      <c r="B235" s="6" t="s">
        <v>294</v>
      </c>
      <c r="C235" s="6"/>
      <c r="D235" s="1" t="str">
        <f>+VLOOKUP(B235,'Maestro Personas'!$B$7:$C$105,2,0)</f>
        <v>10.059.648-2</v>
      </c>
      <c r="E235" s="1" t="str">
        <f>+VLOOKUP(B235,'Maestro Personas'!$B$7:$W$105,22,0)</f>
        <v/>
      </c>
      <c r="F235" s="1" t="str">
        <f>+VLOOKUP(B235,'Maestro Personas'!$B$7:$G$105,6,0)</f>
        <v>Consultor/a Senior - AAPP</v>
      </c>
    </row>
    <row r="236" ht="15.75" customHeight="1">
      <c r="A236" s="6" t="s">
        <v>1155</v>
      </c>
      <c r="B236" s="6" t="s">
        <v>66</v>
      </c>
      <c r="C236" s="6"/>
      <c r="D236" s="1" t="str">
        <f>+VLOOKUP(B236,'Maestro Personas'!$B$7:$C$105,2,0)</f>
        <v>10.818.275-k</v>
      </c>
      <c r="E236" s="1" t="str">
        <f>+VLOOKUP(B236,'Maestro Personas'!$B$7:$W$105,22,0)</f>
        <v>Felipe</v>
      </c>
      <c r="F236" s="1" t="str">
        <f>+VLOOKUP(B236,'Maestro Personas'!$B$7:$G$105,6,0)</f>
        <v>Socio</v>
      </c>
    </row>
    <row r="237" ht="15.75" customHeight="1">
      <c r="A237" s="6" t="s">
        <v>1155</v>
      </c>
      <c r="B237" s="6" t="s">
        <v>59</v>
      </c>
      <c r="C237" s="6"/>
      <c r="D237" s="1" t="str">
        <f>+VLOOKUP(B237,'Maestro Personas'!$B$7:$C$105,2,0)</f>
        <v>8.929.175-5</v>
      </c>
      <c r="E237" s="1" t="str">
        <f>+VLOOKUP(B237,'Maestro Personas'!$B$7:$W$105,22,0)</f>
        <v/>
      </c>
      <c r="F237" s="1" t="str">
        <f>+VLOOKUP(B237,'Maestro Personas'!$B$7:$G$105,6,0)</f>
        <v>Socio Director</v>
      </c>
    </row>
    <row r="238" ht="15.75" customHeight="1">
      <c r="A238" s="6" t="s">
        <v>1156</v>
      </c>
      <c r="B238" s="6" t="s">
        <v>266</v>
      </c>
      <c r="C238" s="6"/>
      <c r="D238" s="1" t="str">
        <f>+VLOOKUP(B238,'Maestro Personas'!$B$7:$C$105,2,0)</f>
        <v>18.845.158-6</v>
      </c>
      <c r="E238" s="1" t="str">
        <f>+VLOOKUP(B238,'Maestro Personas'!$B$7:$W$105,22,0)</f>
        <v>Sari</v>
      </c>
      <c r="F238" s="1" t="str">
        <f>+VLOOKUP(B238,'Maestro Personas'!$B$7:$G$105,6,0)</f>
        <v>Consultor/a Senior - Comunicaciones</v>
      </c>
    </row>
    <row r="239" ht="15.75" customHeight="1">
      <c r="A239" s="6" t="s">
        <v>1156</v>
      </c>
      <c r="B239" s="6" t="s">
        <v>40</v>
      </c>
      <c r="C239" s="6"/>
      <c r="D239" s="1" t="str">
        <f>+VLOOKUP(B239,'Maestro Personas'!$B$7:$C$105,2,0)</f>
        <v>9.766.376-9</v>
      </c>
      <c r="E239" s="1" t="str">
        <f>+VLOOKUP(B239,'Maestro Personas'!$B$7:$W$105,22,0)</f>
        <v>Cristina</v>
      </c>
      <c r="F239" s="1" t="str">
        <f>+VLOOKUP(B239,'Maestro Personas'!$B$7:$G$105,6,0)</f>
        <v>Socio</v>
      </c>
    </row>
    <row r="240" ht="15.75" customHeight="1">
      <c r="A240" s="6" t="s">
        <v>1156</v>
      </c>
      <c r="B240" s="6" t="s">
        <v>289</v>
      </c>
      <c r="C240" s="6"/>
      <c r="D240" s="1" t="str">
        <f>+VLOOKUP(B240,'Maestro Personas'!$B$7:$C$105,2,0)</f>
        <v>20.165.239-1</v>
      </c>
      <c r="E240" s="1" t="str">
        <f>+VLOOKUP(B240,'Maestro Personas'!$B$7:$W$105,22,0)</f>
        <v>Fernanda</v>
      </c>
      <c r="F240" s="1" t="str">
        <f>+VLOOKUP(B240,'Maestro Personas'!$B$7:$G$105,6,0)</f>
        <v>Consultores - Digital</v>
      </c>
    </row>
    <row r="241" ht="15.75" customHeight="1">
      <c r="A241" s="6" t="s">
        <v>1156</v>
      </c>
      <c r="B241" s="6" t="s">
        <v>225</v>
      </c>
      <c r="C241" s="6"/>
      <c r="D241" s="1" t="str">
        <f>+VLOOKUP(B241,'Maestro Personas'!$B$7:$C$105,2,0)</f>
        <v>20.783.188-3</v>
      </c>
      <c r="E241" s="1" t="str">
        <f>+VLOOKUP(B241,'Maestro Personas'!$B$7:$W$105,22,0)</f>
        <v>Belén</v>
      </c>
      <c r="F241" s="1" t="str">
        <f>+VLOOKUP(B241,'Maestro Personas'!$B$7:$G$105,6,0)</f>
        <v>Ejecutivo/a - Comunicaciones</v>
      </c>
    </row>
    <row r="242" ht="15.75" customHeight="1">
      <c r="A242" s="6" t="s">
        <v>1156</v>
      </c>
      <c r="B242" s="6" t="s">
        <v>171</v>
      </c>
      <c r="C242" s="6"/>
      <c r="D242" s="1" t="str">
        <f>+VLOOKUP(B242,'Maestro Personas'!$B$7:$C$105,2,0)</f>
        <v>18.956.291-8</v>
      </c>
      <c r="E242" s="1" t="str">
        <f>+VLOOKUP(B242,'Maestro Personas'!$B$7:$W$105,22,0)</f>
        <v>Javi</v>
      </c>
      <c r="F242" s="1" t="str">
        <f>+VLOOKUP(B242,'Maestro Personas'!$B$7:$G$105,6,0)</f>
        <v>Ejecutivo/a de Cuentas - Digital</v>
      </c>
    </row>
    <row r="243" ht="15.75" customHeight="1">
      <c r="A243" s="6" t="s">
        <v>1157</v>
      </c>
      <c r="B243" s="6" t="s">
        <v>93</v>
      </c>
      <c r="C243" s="6"/>
      <c r="D243" s="1" t="str">
        <f>+VLOOKUP(B243,'Maestro Personas'!$B$7:$C$105,2,0)</f>
        <v>13.529.165-k</v>
      </c>
      <c r="E243" s="1" t="str">
        <f>+VLOOKUP(B243,'Maestro Personas'!$B$7:$W$105,22,0)</f>
        <v>Juan Andrés</v>
      </c>
      <c r="F243" s="1" t="str">
        <f>+VLOOKUP(B243,'Maestro Personas'!$B$7:$G$105,6,0)</f>
        <v>Director/a - AAPP</v>
      </c>
    </row>
    <row r="244" ht="15.75" customHeight="1">
      <c r="A244" s="6" t="s">
        <v>1157</v>
      </c>
      <c r="B244" s="6" t="s">
        <v>263</v>
      </c>
      <c r="C244" s="6"/>
      <c r="D244" s="1" t="str">
        <f>+VLOOKUP(B244,'Maestro Personas'!$B$7:$C$105,2,0)</f>
        <v>11.709.203-8</v>
      </c>
      <c r="E244" s="1" t="str">
        <f>+VLOOKUP(B244,'Maestro Personas'!$B$7:$W$105,22,0)</f>
        <v>Claudio</v>
      </c>
      <c r="F244" s="1" t="str">
        <f>+VLOOKUP(B244,'Maestro Personas'!$B$7:$G$105,6,0)</f>
        <v>Consultor/a Senior - AAPP</v>
      </c>
    </row>
    <row r="245" ht="15.75" customHeight="1">
      <c r="A245" s="6" t="s">
        <v>1157</v>
      </c>
      <c r="B245" s="6" t="s">
        <v>133</v>
      </c>
      <c r="C245" s="6"/>
      <c r="D245" s="1" t="str">
        <f>+VLOOKUP(B245,'Maestro Personas'!$B$7:$C$105,2,0)</f>
        <v>15.959.738-5</v>
      </c>
      <c r="E245" s="1" t="str">
        <f>+VLOOKUP(B245,'Maestro Personas'!$B$7:$W$105,22,0)</f>
        <v>Javi</v>
      </c>
      <c r="F245" s="1" t="str">
        <f>+VLOOKUP(B245,'Maestro Personas'!$B$7:$G$105,6,0)</f>
        <v>Director/a - AAPP</v>
      </c>
    </row>
    <row r="246" ht="15.75" customHeight="1">
      <c r="A246" s="6" t="s">
        <v>1158</v>
      </c>
      <c r="B246" s="6" t="s">
        <v>73</v>
      </c>
      <c r="C246" s="6"/>
      <c r="D246" s="1" t="str">
        <f>+VLOOKUP(B246,'Maestro Personas'!$B$7:$C$105,2,0)</f>
        <v>16.282.327-2</v>
      </c>
      <c r="E246" s="1" t="str">
        <f>+VLOOKUP(B246,'Maestro Personas'!$B$7:$W$105,22,0)</f>
        <v>Jose, JM</v>
      </c>
      <c r="F246" s="1" t="str">
        <f>+VLOOKUP(B246,'Maestro Personas'!$B$7:$G$105,6,0)</f>
        <v>Socio Área Digital</v>
      </c>
    </row>
    <row r="247" ht="15.75" customHeight="1">
      <c r="A247" s="6" t="s">
        <v>1158</v>
      </c>
      <c r="B247" s="6" t="s">
        <v>219</v>
      </c>
      <c r="C247" s="6"/>
      <c r="D247" s="1" t="str">
        <f>+VLOOKUP(B247,'Maestro Personas'!$B$7:$C$105,2,0)</f>
        <v>15.370.192-k</v>
      </c>
      <c r="E247" s="1" t="str">
        <f>+VLOOKUP(B247,'Maestro Personas'!$B$7:$W$105,22,0)</f>
        <v/>
      </c>
      <c r="F247" s="1" t="str">
        <f>+VLOOKUP(B247,'Maestro Personas'!$B$7:$G$105,6,0)</f>
        <v>Director/a - Comunicaciones</v>
      </c>
    </row>
    <row r="248" ht="15.75" customHeight="1">
      <c r="A248" s="6" t="s">
        <v>1158</v>
      </c>
      <c r="B248" s="6" t="s">
        <v>229</v>
      </c>
      <c r="C248" s="6"/>
      <c r="D248" s="1" t="str">
        <f>+VLOOKUP(B248,'Maestro Personas'!$B$7:$C$105,2,0)</f>
        <v>15.770.775-2</v>
      </c>
      <c r="E248" s="1" t="str">
        <f>+VLOOKUP(B248,'Maestro Personas'!$B$7:$W$105,22,0)</f>
        <v/>
      </c>
      <c r="F248" s="1" t="str">
        <f>+VLOOKUP(B248,'Maestro Personas'!$B$7:$G$105,6,0)</f>
        <v>Director/a - Comunicaciones</v>
      </c>
    </row>
    <row r="249" ht="15.75" customHeight="1">
      <c r="A249" s="6" t="s">
        <v>1159</v>
      </c>
      <c r="B249" s="6" t="s">
        <v>83</v>
      </c>
      <c r="C249" s="6"/>
      <c r="D249" s="1" t="str">
        <f>+VLOOKUP(B249,'Maestro Personas'!$B$7:$C$105,2,0)</f>
        <v>14.045.482-6</v>
      </c>
      <c r="E249" s="1" t="str">
        <f>+VLOOKUP(B249,'Maestro Personas'!$B$7:$W$105,22,0)</f>
        <v>Ian</v>
      </c>
      <c r="F249" s="1" t="str">
        <f>+VLOOKUP(B249,'Maestro Personas'!$B$7:$G$105,6,0)</f>
        <v>Socio Director</v>
      </c>
    </row>
    <row r="250" ht="15.75" customHeight="1">
      <c r="A250" s="6" t="s">
        <v>1160</v>
      </c>
      <c r="B250" s="6" t="s">
        <v>73</v>
      </c>
      <c r="C250" s="6"/>
      <c r="D250" s="1" t="str">
        <f>+VLOOKUP(B250,'Maestro Personas'!$B$7:$C$105,2,0)</f>
        <v>16.282.327-2</v>
      </c>
      <c r="E250" s="1" t="str">
        <f>+VLOOKUP(B250,'Maestro Personas'!$B$7:$W$105,22,0)</f>
        <v>Jose, JM</v>
      </c>
      <c r="F250" s="1" t="str">
        <f>+VLOOKUP(B250,'Maestro Personas'!$B$7:$G$105,6,0)</f>
        <v>Socio Área Digital</v>
      </c>
    </row>
    <row r="251" ht="15.75" customHeight="1">
      <c r="A251" s="6" t="s">
        <v>1160</v>
      </c>
      <c r="B251" s="6" t="s">
        <v>183</v>
      </c>
      <c r="C251" s="6"/>
      <c r="D251" s="1" t="str">
        <f>+VLOOKUP(B251,'Maestro Personas'!$B$7:$C$105,2,0)</f>
        <v>26.054.812-3</v>
      </c>
      <c r="E251" s="1" t="str">
        <f>+VLOOKUP(B251,'Maestro Personas'!$B$7:$W$105,22,0)</f>
        <v>Martín</v>
      </c>
      <c r="F251" s="1" t="str">
        <f>+VLOOKUP(B251,'Maestro Personas'!$B$7:$G$105,6,0)</f>
        <v>Director Senior- Digital</v>
      </c>
    </row>
    <row r="252" ht="15.75" customHeight="1">
      <c r="A252" s="6" t="s">
        <v>1160</v>
      </c>
      <c r="B252" s="6" t="s">
        <v>164</v>
      </c>
      <c r="C252" s="6"/>
      <c r="D252" s="1" t="str">
        <f>+VLOOKUP(B252,'Maestro Personas'!$B$7:$C$105,2,0)</f>
        <v>15.722.742-4</v>
      </c>
      <c r="E252" s="1" t="str">
        <f>+VLOOKUP(B252,'Maestro Personas'!$B$7:$W$105,22,0)</f>
        <v>Robert</v>
      </c>
      <c r="F252" s="1" t="str">
        <f>+VLOOKUP(B252,'Maestro Personas'!$B$7:$G$105,6,0)</f>
        <v>Director/a - AAPP</v>
      </c>
    </row>
    <row r="253" ht="15.75" customHeight="1">
      <c r="A253" s="6" t="s">
        <v>1160</v>
      </c>
      <c r="B253" s="6" t="s">
        <v>140</v>
      </c>
      <c r="C253" s="6"/>
      <c r="D253" s="1" t="str">
        <f>+VLOOKUP(B253,'Maestro Personas'!$B$7:$C$105,2,0)</f>
        <v>20.075.693-2</v>
      </c>
      <c r="E253" s="1" t="str">
        <f>+VLOOKUP(B253,'Maestro Personas'!$B$7:$W$105,22,0)</f>
        <v>Felipe</v>
      </c>
      <c r="F253" s="1" t="str">
        <f>+VLOOKUP(B253,'Maestro Personas'!$B$7:$G$105,6,0)</f>
        <v>Ejecutivo/a de Cuentas - Digital</v>
      </c>
    </row>
    <row r="254" ht="15.75" customHeight="1">
      <c r="A254" s="6" t="s">
        <v>1160</v>
      </c>
      <c r="B254" s="6" t="s">
        <v>66</v>
      </c>
      <c r="C254" s="6"/>
      <c r="D254" s="1" t="str">
        <f>+VLOOKUP(B254,'Maestro Personas'!$B$7:$C$105,2,0)</f>
        <v>10.818.275-k</v>
      </c>
      <c r="E254" s="1" t="str">
        <f>+VLOOKUP(B254,'Maestro Personas'!$B$7:$W$105,22,0)</f>
        <v>Felipe</v>
      </c>
      <c r="F254" s="1" t="str">
        <f>+VLOOKUP(B254,'Maestro Personas'!$B$7:$G$105,6,0)</f>
        <v>Socio</v>
      </c>
    </row>
    <row r="255" ht="15.75" customHeight="1">
      <c r="A255" s="6" t="s">
        <v>1160</v>
      </c>
      <c r="B255" s="6" t="s">
        <v>59</v>
      </c>
      <c r="C255" s="6"/>
      <c r="D255" s="1" t="str">
        <f>+VLOOKUP(B255,'Maestro Personas'!$B$7:$C$105,2,0)</f>
        <v>8.929.175-5</v>
      </c>
      <c r="E255" s="1" t="str">
        <f>+VLOOKUP(B255,'Maestro Personas'!$B$7:$W$105,22,0)</f>
        <v/>
      </c>
      <c r="F255" s="1" t="str">
        <f>+VLOOKUP(B255,'Maestro Personas'!$B$7:$G$105,6,0)</f>
        <v>Socio Director</v>
      </c>
    </row>
    <row r="256" ht="15.75" customHeight="1">
      <c r="A256" s="6" t="s">
        <v>1160</v>
      </c>
      <c r="B256" s="6" t="s">
        <v>195</v>
      </c>
      <c r="C256" s="6"/>
      <c r="D256" s="1" t="str">
        <f>+VLOOKUP(B256,'Maestro Personas'!$B$7:$C$105,2,0)</f>
        <v>17.029.247-2</v>
      </c>
      <c r="E256" s="1" t="str">
        <f>+VLOOKUP(B256,'Maestro Personas'!$B$7:$W$105,22,0)</f>
        <v>Felipe</v>
      </c>
      <c r="F256" s="1" t="str">
        <f>+VLOOKUP(B256,'Maestro Personas'!$B$7:$G$105,6,0)</f>
        <v>Consultores - Digital</v>
      </c>
    </row>
    <row r="257" ht="15.75" customHeight="1">
      <c r="A257" s="6" t="s">
        <v>1160</v>
      </c>
      <c r="B257" s="6" t="s">
        <v>168</v>
      </c>
      <c r="C257" s="6"/>
      <c r="D257" s="1" t="str">
        <f>+VLOOKUP(B257,'Maestro Personas'!$B$7:$C$105,2,0)</f>
        <v>17.248.821-8</v>
      </c>
      <c r="E257" s="1" t="str">
        <f>+VLOOKUP(B257,'Maestro Personas'!$B$7:$W$105,22,0)</f>
        <v>Paz</v>
      </c>
      <c r="F257" s="1" t="str">
        <f>+VLOOKUP(B257,'Maestro Personas'!$B$7:$G$105,6,0)</f>
        <v>Ejecutivo/a de Cuentas - Digital</v>
      </c>
    </row>
    <row r="258" ht="15.75" customHeight="1">
      <c r="A258" s="6" t="s">
        <v>1160</v>
      </c>
      <c r="B258" s="6" t="s">
        <v>171</v>
      </c>
      <c r="C258" s="6"/>
      <c r="D258" s="1" t="str">
        <f>+VLOOKUP(B258,'Maestro Personas'!$B$7:$C$105,2,0)</f>
        <v>18.956.291-8</v>
      </c>
      <c r="E258" s="1" t="str">
        <f>+VLOOKUP(B258,'Maestro Personas'!$B$7:$W$105,22,0)</f>
        <v>Javi</v>
      </c>
      <c r="F258" s="1" t="str">
        <f>+VLOOKUP(B258,'Maestro Personas'!$B$7:$G$105,6,0)</f>
        <v>Ejecutivo/a de Cuentas - Digital</v>
      </c>
    </row>
    <row r="259" ht="15.75" customHeight="1">
      <c r="A259" s="6" t="s">
        <v>1160</v>
      </c>
      <c r="B259" s="6" t="s">
        <v>343</v>
      </c>
      <c r="C259" s="6"/>
      <c r="D259" s="1" t="str">
        <f>+VLOOKUP(B259,'Maestro Personas'!$B$7:$C$105,2,0)</f>
        <v>17.028.885-8</v>
      </c>
      <c r="E259" s="1" t="str">
        <f>+VLOOKUP(B259,'Maestro Personas'!$B$7:$W$105,22,0)</f>
        <v>Mane</v>
      </c>
      <c r="F259" s="1" t="str">
        <f>+VLOOKUP(B259,'Maestro Personas'!$B$7:$G$105,6,0)</f>
        <v>Consultor/a Senior - Comunicaciones</v>
      </c>
    </row>
    <row r="260" ht="15.75" customHeight="1">
      <c r="A260" s="6" t="s">
        <v>1160</v>
      </c>
      <c r="B260" s="6" t="s">
        <v>256</v>
      </c>
      <c r="C260" s="6"/>
      <c r="D260" s="1" t="str">
        <f>+VLOOKUP(B260,'Maestro Personas'!$B$7:$C$105,2,0)</f>
        <v>20.165.428-9</v>
      </c>
      <c r="E260" s="1" t="str">
        <f>+VLOOKUP(B260,'Maestro Personas'!$B$7:$W$105,22,0)</f>
        <v>Jo</v>
      </c>
      <c r="F260" s="1" t="str">
        <f>+VLOOKUP(B260,'Maestro Personas'!$B$7:$G$105,6,0)</f>
        <v>Ejecutivo/a - Comunicaciones</v>
      </c>
    </row>
    <row r="261" ht="15.75" customHeight="1">
      <c r="A261" s="6" t="s">
        <v>1160</v>
      </c>
      <c r="B261" s="6" t="s">
        <v>445</v>
      </c>
      <c r="C261" s="6"/>
      <c r="D261" s="1" t="str">
        <f>+VLOOKUP(B261,'Maestro Personas'!$B$7:$C$105,2,0)</f>
        <v>18.497.525-4</v>
      </c>
      <c r="E261" s="1" t="str">
        <f>+VLOOKUP(B261,'Maestro Personas'!$B$7:$W$105,22,0)</f>
        <v>Javi</v>
      </c>
      <c r="F261" s="1" t="str">
        <f>+VLOOKUP(B261,'Maestro Personas'!$B$7:$G$105,6,0)</f>
        <v>Ejecutivo/a de Cuentas - Digital</v>
      </c>
    </row>
    <row r="262" ht="15.75" customHeight="1">
      <c r="A262" s="6" t="s">
        <v>1161</v>
      </c>
      <c r="B262" s="6" t="s">
        <v>40</v>
      </c>
      <c r="C262" s="6"/>
      <c r="D262" s="1" t="str">
        <f>+VLOOKUP(B262,'Maestro Personas'!$B$7:$C$105,2,0)</f>
        <v>9.766.376-9</v>
      </c>
      <c r="E262" s="1" t="str">
        <f>+VLOOKUP(B262,'Maestro Personas'!$B$7:$W$105,22,0)</f>
        <v>Cristina</v>
      </c>
      <c r="F262" s="1" t="str">
        <f>+VLOOKUP(B262,'Maestro Personas'!$B$7:$G$105,6,0)</f>
        <v>Socio</v>
      </c>
    </row>
    <row r="263" ht="15.75" customHeight="1">
      <c r="A263" s="6" t="s">
        <v>1161</v>
      </c>
      <c r="B263" s="6" t="s">
        <v>140</v>
      </c>
      <c r="C263" s="6"/>
      <c r="D263" s="1" t="str">
        <f>+VLOOKUP(B263,'Maestro Personas'!$B$7:$C$105,2,0)</f>
        <v>20.075.693-2</v>
      </c>
      <c r="E263" s="1" t="str">
        <f>+VLOOKUP(B263,'Maestro Personas'!$B$7:$W$105,22,0)</f>
        <v>Felipe</v>
      </c>
      <c r="F263" s="1" t="str">
        <f>+VLOOKUP(B263,'Maestro Personas'!$B$7:$G$105,6,0)</f>
        <v>Ejecutivo/a de Cuentas - Digital</v>
      </c>
    </row>
    <row r="264" ht="15.75" customHeight="1">
      <c r="A264" s="6" t="s">
        <v>1161</v>
      </c>
      <c r="B264" s="6" t="s">
        <v>225</v>
      </c>
      <c r="C264" s="6"/>
      <c r="D264" s="1" t="str">
        <f>+VLOOKUP(B264,'Maestro Personas'!$B$7:$C$105,2,0)</f>
        <v>20.783.188-3</v>
      </c>
      <c r="E264" s="1" t="str">
        <f>+VLOOKUP(B264,'Maestro Personas'!$B$7:$W$105,22,0)</f>
        <v>Belén</v>
      </c>
      <c r="F264" s="1" t="str">
        <f>+VLOOKUP(B264,'Maestro Personas'!$B$7:$G$105,6,0)</f>
        <v>Ejecutivo/a - Comunicaciones</v>
      </c>
    </row>
    <row r="265" ht="15.75" customHeight="1">
      <c r="A265" s="6" t="s">
        <v>1161</v>
      </c>
      <c r="B265" s="6" t="s">
        <v>199</v>
      </c>
      <c r="C265" s="6"/>
      <c r="D265" s="1" t="str">
        <f>+VLOOKUP(B265,'Maestro Personas'!$B$7:$C$105,2,0)</f>
        <v>12.403.456-6</v>
      </c>
      <c r="E265" s="1" t="str">
        <f>+VLOOKUP(B265,'Maestro Personas'!$B$7:$W$105,22,0)</f>
        <v>Dani</v>
      </c>
      <c r="F265" s="1" t="str">
        <f>+VLOOKUP(B265,'Maestro Personas'!$B$7:$G$105,6,0)</f>
        <v>Socio Director</v>
      </c>
    </row>
    <row r="266" ht="15.75" customHeight="1">
      <c r="A266" s="6" t="s">
        <v>1161</v>
      </c>
      <c r="B266" s="6" t="s">
        <v>229</v>
      </c>
      <c r="C266" s="6"/>
      <c r="D266" s="1" t="str">
        <f>+VLOOKUP(B266,'Maestro Personas'!$B$7:$C$105,2,0)</f>
        <v>15.770.775-2</v>
      </c>
      <c r="E266" s="1" t="str">
        <f>+VLOOKUP(B266,'Maestro Personas'!$B$7:$W$105,22,0)</f>
        <v/>
      </c>
      <c r="F266" s="1" t="str">
        <f>+VLOOKUP(B266,'Maestro Personas'!$B$7:$G$105,6,0)</f>
        <v>Director/a - Comunicaciones</v>
      </c>
    </row>
    <row r="267" ht="15.75" customHeight="1">
      <c r="A267" s="6" t="s">
        <v>1161</v>
      </c>
      <c r="B267" s="6" t="s">
        <v>440</v>
      </c>
      <c r="C267" s="6"/>
      <c r="D267" s="1" t="str">
        <f>+VLOOKUP(B267,'Maestro Personas'!$B$7:$C$105,2,0)</f>
        <v>19.078.174-7</v>
      </c>
      <c r="E267" s="1" t="str">
        <f>+VLOOKUP(B267,'Maestro Personas'!$B$7:$W$105,22,0)</f>
        <v>Yael</v>
      </c>
      <c r="F267" s="1" t="str">
        <f>+VLOOKUP(B267,'Maestro Personas'!$B$7:$G$105,6,0)</f>
        <v>Consultor/a - Comunicaciones</v>
      </c>
    </row>
    <row r="268" ht="15.75" customHeight="1">
      <c r="A268" s="6" t="s">
        <v>1162</v>
      </c>
      <c r="B268" s="6" t="s">
        <v>61</v>
      </c>
      <c r="C268" s="6"/>
      <c r="D268" s="1" t="str">
        <f>+VLOOKUP(B268,'Maestro Personas'!$B$7:$C$105,2,0)</f>
        <v>12.454.685-0</v>
      </c>
      <c r="E268" s="1" t="str">
        <f>+VLOOKUP(B268,'Maestro Personas'!$B$7:$W$105,22,0)</f>
        <v>Vic</v>
      </c>
      <c r="F268" s="1" t="str">
        <f>+VLOOKUP(B268,'Maestro Personas'!$B$7:$G$105,6,0)</f>
        <v>Socio Director</v>
      </c>
    </row>
    <row r="269" ht="15.75" customHeight="1">
      <c r="A269" s="6" t="s">
        <v>1162</v>
      </c>
      <c r="B269" s="6" t="s">
        <v>476</v>
      </c>
      <c r="C269" s="6"/>
      <c r="D269" s="1" t="str">
        <f>+VLOOKUP(B269,'Maestro Personas'!$B$7:$C$105,2,0)</f>
        <v>8.639.242-9</v>
      </c>
      <c r="E269" s="1" t="str">
        <f>+VLOOKUP(B269,'Maestro Personas'!$B$7:$W$105,22,0)</f>
        <v>Isa</v>
      </c>
      <c r="F269" s="1" t="str">
        <f>+VLOOKUP(B269,'Maestro Personas'!$B$7:$G$105,6,0)</f>
        <v>Director/a - Comunicaciones</v>
      </c>
    </row>
    <row r="270" ht="15.75" customHeight="1">
      <c r="A270" s="6" t="s">
        <v>1163</v>
      </c>
      <c r="B270" s="6" t="s">
        <v>127</v>
      </c>
      <c r="C270" s="6"/>
      <c r="D270" s="1" t="str">
        <f>+VLOOKUP(B270,'Maestro Personas'!$B$7:$C$105,2,0)</f>
        <v>20.909.557-2</v>
      </c>
      <c r="E270" s="1" t="str">
        <f>+VLOOKUP(B270,'Maestro Personas'!$B$7:$W$105,22,0)</f>
        <v/>
      </c>
      <c r="F270" s="1" t="str">
        <f>+VLOOKUP(B270,'Maestro Personas'!$B$7:$G$105,6,0)</f>
        <v>Trainee</v>
      </c>
    </row>
    <row r="271" ht="15.75" customHeight="1">
      <c r="A271" s="6" t="s">
        <v>1163</v>
      </c>
      <c r="B271" s="6" t="s">
        <v>83</v>
      </c>
      <c r="C271" s="6"/>
      <c r="D271" s="1" t="str">
        <f>+VLOOKUP(B271,'Maestro Personas'!$B$7:$C$105,2,0)</f>
        <v>14.045.482-6</v>
      </c>
      <c r="E271" s="1" t="str">
        <f>+VLOOKUP(B271,'Maestro Personas'!$B$7:$W$105,22,0)</f>
        <v>Ian</v>
      </c>
      <c r="F271" s="1" t="str">
        <f>+VLOOKUP(B271,'Maestro Personas'!$B$7:$G$105,6,0)</f>
        <v>Socio Director</v>
      </c>
    </row>
    <row r="272" ht="15.75" customHeight="1">
      <c r="A272" s="6" t="s">
        <v>1163</v>
      </c>
      <c r="B272" s="6" t="s">
        <v>150</v>
      </c>
      <c r="C272" s="6"/>
      <c r="D272" s="1" t="str">
        <f>+VLOOKUP(B272,'Maestro Personas'!$B$7:$C$105,2,0)</f>
        <v>18.588.568-2</v>
      </c>
      <c r="E272" s="1" t="str">
        <f>+VLOOKUP(B272,'Maestro Personas'!$B$7:$W$105,22,0)</f>
        <v>Ana</v>
      </c>
      <c r="F272" s="1" t="str">
        <f>+VLOOKUP(B272,'Maestro Personas'!$B$7:$G$105,6,0)</f>
        <v>Consultor/a - AAPP</v>
      </c>
    </row>
    <row r="273" ht="15.75" customHeight="1">
      <c r="A273" s="6" t="s">
        <v>1163</v>
      </c>
      <c r="B273" s="6" t="s">
        <v>263</v>
      </c>
      <c r="C273" s="6"/>
      <c r="D273" s="1" t="str">
        <f>+VLOOKUP(B273,'Maestro Personas'!$B$7:$C$105,2,0)</f>
        <v>11.709.203-8</v>
      </c>
      <c r="E273" s="1" t="str">
        <f>+VLOOKUP(B273,'Maestro Personas'!$B$7:$W$105,22,0)</f>
        <v>Claudio</v>
      </c>
      <c r="F273" s="1" t="str">
        <f>+VLOOKUP(B273,'Maestro Personas'!$B$7:$G$105,6,0)</f>
        <v>Consultor/a Senior - AAPP</v>
      </c>
    </row>
    <row r="274" ht="15.75" customHeight="1">
      <c r="A274" s="6" t="s">
        <v>1164</v>
      </c>
      <c r="B274" s="6" t="s">
        <v>66</v>
      </c>
      <c r="C274" s="6"/>
      <c r="D274" s="1" t="str">
        <f>+VLOOKUP(B274,'Maestro Personas'!$B$7:$C$105,2,0)</f>
        <v>10.818.275-k</v>
      </c>
      <c r="E274" s="1" t="str">
        <f>+VLOOKUP(B274,'Maestro Personas'!$B$7:$W$105,22,0)</f>
        <v>Felipe</v>
      </c>
      <c r="F274" s="1" t="str">
        <f>+VLOOKUP(B274,'Maestro Personas'!$B$7:$G$105,6,0)</f>
        <v>Socio</v>
      </c>
    </row>
    <row r="275" ht="15.75" customHeight="1">
      <c r="A275" s="6" t="s">
        <v>1165</v>
      </c>
      <c r="B275" s="6" t="s">
        <v>40</v>
      </c>
      <c r="C275" s="6"/>
      <c r="D275" s="1" t="str">
        <f>+VLOOKUP(B275,'Maestro Personas'!$B$7:$C$105,2,0)</f>
        <v>9.766.376-9</v>
      </c>
      <c r="E275" s="1" t="str">
        <f>+VLOOKUP(B275,'Maestro Personas'!$B$7:$W$105,22,0)</f>
        <v>Cristina</v>
      </c>
      <c r="F275" s="1" t="str">
        <f>+VLOOKUP(B275,'Maestro Personas'!$B$7:$G$105,6,0)</f>
        <v>Socio</v>
      </c>
    </row>
    <row r="276" ht="15.75" customHeight="1">
      <c r="A276" s="6" t="s">
        <v>1165</v>
      </c>
      <c r="B276" s="6" t="s">
        <v>61</v>
      </c>
      <c r="C276" s="6"/>
      <c r="D276" s="1" t="str">
        <f>+VLOOKUP(B276,'Maestro Personas'!$B$7:$C$105,2,0)</f>
        <v>12.454.685-0</v>
      </c>
      <c r="E276" s="1" t="str">
        <f>+VLOOKUP(B276,'Maestro Personas'!$B$7:$W$105,22,0)</f>
        <v>Vic</v>
      </c>
      <c r="F276" s="1" t="str">
        <f>+VLOOKUP(B276,'Maestro Personas'!$B$7:$G$105,6,0)</f>
        <v>Socio Director</v>
      </c>
    </row>
    <row r="277" ht="15.75" customHeight="1">
      <c r="A277" s="6" t="s">
        <v>1165</v>
      </c>
      <c r="B277" s="6" t="s">
        <v>127</v>
      </c>
      <c r="C277" s="6"/>
      <c r="D277" s="1" t="str">
        <f>+VLOOKUP(B277,'Maestro Personas'!$B$7:$C$105,2,0)</f>
        <v>20.909.557-2</v>
      </c>
      <c r="E277" s="1" t="str">
        <f>+VLOOKUP(B277,'Maestro Personas'!$B$7:$W$105,22,0)</f>
        <v/>
      </c>
      <c r="F277" s="1" t="str">
        <f>+VLOOKUP(B277,'Maestro Personas'!$B$7:$G$105,6,0)</f>
        <v>Trainee</v>
      </c>
    </row>
    <row r="278" ht="15.75" customHeight="1">
      <c r="A278" s="6" t="s">
        <v>1165</v>
      </c>
      <c r="B278" s="6" t="s">
        <v>217</v>
      </c>
      <c r="C278" s="6"/>
      <c r="D278" s="1" t="str">
        <f>+VLOOKUP(B278,'Maestro Personas'!$B$7:$C$105,2,0)</f>
        <v>15.916.585-k</v>
      </c>
      <c r="E278" s="1" t="str">
        <f>+VLOOKUP(B278,'Maestro Personas'!$B$7:$W$105,22,0)</f>
        <v>Rafa</v>
      </c>
      <c r="F278" s="1" t="str">
        <f>+VLOOKUP(B278,'Maestro Personas'!$B$7:$G$105,6,0)</f>
        <v>Consultor/a - AAPP</v>
      </c>
    </row>
    <row r="279" ht="15.75" customHeight="1">
      <c r="A279" s="6" t="s">
        <v>1165</v>
      </c>
      <c r="B279" s="6" t="s">
        <v>150</v>
      </c>
      <c r="C279" s="6"/>
      <c r="D279" s="1" t="str">
        <f>+VLOOKUP(B279,'Maestro Personas'!$B$7:$C$105,2,0)</f>
        <v>18.588.568-2</v>
      </c>
      <c r="E279" s="1" t="str">
        <f>+VLOOKUP(B279,'Maestro Personas'!$B$7:$W$105,22,0)</f>
        <v>Ana</v>
      </c>
      <c r="F279" s="1" t="str">
        <f>+VLOOKUP(B279,'Maestro Personas'!$B$7:$G$105,6,0)</f>
        <v>Consultor/a - AAPP</v>
      </c>
    </row>
    <row r="280" ht="15.75" customHeight="1">
      <c r="A280" s="6" t="s">
        <v>1165</v>
      </c>
      <c r="B280" s="6" t="s">
        <v>122</v>
      </c>
      <c r="C280" s="6"/>
      <c r="D280" s="1" t="str">
        <f>+VLOOKUP(B280,'Maestro Personas'!$B$7:$C$105,2,0)</f>
        <v>26.965.314-0</v>
      </c>
      <c r="E280" s="1" t="str">
        <f>+VLOOKUP(B280,'Maestro Personas'!$B$7:$W$105,22,0)</f>
        <v>Reimar, Rei</v>
      </c>
      <c r="F280" s="1" t="str">
        <f>+VLOOKUP(B280,'Maestro Personas'!$B$7:$G$105,6,0)</f>
        <v>Ejecutivo/a de Cuentas - Digital</v>
      </c>
    </row>
    <row r="281" ht="15.75" customHeight="1">
      <c r="A281" s="6" t="s">
        <v>1165</v>
      </c>
      <c r="B281" s="6" t="s">
        <v>256</v>
      </c>
      <c r="C281" s="6"/>
      <c r="D281" s="1" t="str">
        <f>+VLOOKUP(B281,'Maestro Personas'!$B$7:$C$105,2,0)</f>
        <v>20.165.428-9</v>
      </c>
      <c r="E281" s="1" t="str">
        <f>+VLOOKUP(B281,'Maestro Personas'!$B$7:$W$105,22,0)</f>
        <v>Jo</v>
      </c>
      <c r="F281" s="1" t="str">
        <f>+VLOOKUP(B281,'Maestro Personas'!$B$7:$G$105,6,0)</f>
        <v>Ejecutivo/a - Comunicaciones</v>
      </c>
    </row>
    <row r="282" ht="15.75" customHeight="1">
      <c r="A282" s="6" t="s">
        <v>1166</v>
      </c>
      <c r="B282" s="6" t="s">
        <v>266</v>
      </c>
      <c r="C282" s="6"/>
      <c r="D282" s="1" t="str">
        <f>+VLOOKUP(B282,'Maestro Personas'!$B$7:$C$105,2,0)</f>
        <v>18.845.158-6</v>
      </c>
      <c r="E282" s="1" t="str">
        <f>+VLOOKUP(B282,'Maestro Personas'!$B$7:$W$105,22,0)</f>
        <v>Sari</v>
      </c>
      <c r="F282" s="1" t="str">
        <f>+VLOOKUP(B282,'Maestro Personas'!$B$7:$G$105,6,0)</f>
        <v>Consultor/a Senior - Comunicaciones</v>
      </c>
    </row>
    <row r="283" ht="15.75" customHeight="1">
      <c r="A283" s="6" t="s">
        <v>1166</v>
      </c>
      <c r="B283" s="6" t="s">
        <v>160</v>
      </c>
      <c r="C283" s="6"/>
      <c r="D283" s="1" t="str">
        <f>+VLOOKUP(B283,'Maestro Personas'!$B$7:$C$105,2,0)</f>
        <v>17.407.755-k</v>
      </c>
      <c r="E283" s="1" t="str">
        <f>+VLOOKUP(B283,'Maestro Personas'!$B$7:$W$105,22,0)</f>
        <v>Stefano</v>
      </c>
      <c r="F283" s="1" t="str">
        <f>+VLOOKUP(B283,'Maestro Personas'!$B$7:$G$105,6,0)</f>
        <v>Consultor/a Senior - AAPP</v>
      </c>
    </row>
    <row r="284" ht="15.75" customHeight="1">
      <c r="A284" s="6" t="s">
        <v>1166</v>
      </c>
      <c r="B284" s="6" t="s">
        <v>409</v>
      </c>
      <c r="C284" s="6"/>
      <c r="D284" s="1" t="str">
        <f>+VLOOKUP(B284,'Maestro Personas'!$B$7:$C$105,2,0)</f>
        <v>28.759.573-5</v>
      </c>
      <c r="E284" s="1" t="str">
        <f>+VLOOKUP(B284,'Maestro Personas'!$B$7:$W$105,22,0)</f>
        <v>Irene</v>
      </c>
      <c r="F284" s="1" t="str">
        <f>+VLOOKUP(B284,'Maestro Personas'!$B$7:$G$105,6,0)</f>
        <v>Consultor/a Senior - Comunicaciones</v>
      </c>
    </row>
    <row r="285" ht="15.75" customHeight="1">
      <c r="A285" s="6" t="s">
        <v>1166</v>
      </c>
      <c r="B285" s="6" t="s">
        <v>299</v>
      </c>
      <c r="C285" s="6"/>
      <c r="D285" s="1" t="str">
        <f>+VLOOKUP(B285,'Maestro Personas'!$B$7:$C$105,2,0)</f>
        <v>17.108.779-1</v>
      </c>
      <c r="E285" s="1" t="str">
        <f>+VLOOKUP(B285,'Maestro Personas'!$B$7:$W$105,22,0)</f>
        <v>Anita</v>
      </c>
      <c r="F285" s="1" t="str">
        <f>+VLOOKUP(B285,'Maestro Personas'!$B$7:$G$105,6,0)</f>
        <v>Ejecutivo/a - Comunicaciones</v>
      </c>
    </row>
    <row r="286" ht="15.75" customHeight="1">
      <c r="A286" s="6" t="s">
        <v>1166</v>
      </c>
      <c r="B286" s="6" t="s">
        <v>241</v>
      </c>
      <c r="C286" s="6"/>
      <c r="D286" s="1" t="str">
        <f>+VLOOKUP(B286,'Maestro Personas'!$B$7:$C$105,2,0)</f>
        <v>21.412.373-8</v>
      </c>
      <c r="E286" s="1" t="str">
        <f>+VLOOKUP(B286,'Maestro Personas'!$B$7:$W$105,22,0)</f>
        <v>Fran</v>
      </c>
      <c r="F286" s="1" t="str">
        <f>+VLOOKUP(B286,'Maestro Personas'!$B$7:$G$105,6,0)</f>
        <v>Trainee</v>
      </c>
    </row>
    <row r="287" ht="15.75" customHeight="1">
      <c r="A287" s="6" t="s">
        <v>1166</v>
      </c>
      <c r="B287" s="6" t="s">
        <v>151</v>
      </c>
      <c r="C287" s="6"/>
      <c r="D287" s="1" t="str">
        <f>+VLOOKUP(B287,'Maestro Personas'!$B$7:$C$105,2,0)</f>
        <v>14.533.402-0</v>
      </c>
      <c r="E287" s="1" t="str">
        <f>+VLOOKUP(B287,'Maestro Personas'!$B$7:$W$105,22,0)</f>
        <v>Pablo</v>
      </c>
      <c r="F287" s="1" t="str">
        <f>+VLOOKUP(B287,'Maestro Personas'!$B$7:$G$105,6,0)</f>
        <v>Consultor/a Senior - AAPP</v>
      </c>
    </row>
    <row r="288" ht="15.75" customHeight="1">
      <c r="A288" s="6" t="s">
        <v>1167</v>
      </c>
      <c r="B288" s="6" t="s">
        <v>59</v>
      </c>
      <c r="C288" s="6"/>
      <c r="D288" s="1" t="str">
        <f>+VLOOKUP(B288,'Maestro Personas'!$B$7:$C$105,2,0)</f>
        <v>8.929.175-5</v>
      </c>
      <c r="E288" s="1" t="str">
        <f>+VLOOKUP(B288,'Maestro Personas'!$B$7:$W$105,22,0)</f>
        <v/>
      </c>
      <c r="F288" s="1" t="str">
        <f>+VLOOKUP(B288,'Maestro Personas'!$B$7:$G$105,6,0)</f>
        <v>Socio Director</v>
      </c>
    </row>
    <row r="289" ht="15.75" customHeight="1">
      <c r="A289" s="6" t="s">
        <v>1168</v>
      </c>
      <c r="B289" s="6" t="s">
        <v>114</v>
      </c>
      <c r="C289" s="6"/>
      <c r="D289" s="1" t="str">
        <f>+VLOOKUP(B289,'Maestro Personas'!$B$7:$C$105,2,0)</f>
        <v>12.019.058-k</v>
      </c>
      <c r="E289" s="1" t="str">
        <f>+VLOOKUP(B289,'Maestro Personas'!$B$7:$W$105,22,0)</f>
        <v/>
      </c>
      <c r="F289" s="1" t="str">
        <f>+VLOOKUP(B289,'Maestro Personas'!$B$7:$G$105,6,0)</f>
        <v>Socio Director</v>
      </c>
    </row>
    <row r="290" ht="15.75" customHeight="1">
      <c r="A290" s="6" t="s">
        <v>1168</v>
      </c>
      <c r="B290" s="6" t="s">
        <v>219</v>
      </c>
      <c r="C290" s="6"/>
      <c r="D290" s="1" t="str">
        <f>+VLOOKUP(B290,'Maestro Personas'!$B$7:$C$105,2,0)</f>
        <v>15.370.192-k</v>
      </c>
      <c r="E290" s="1" t="str">
        <f>+VLOOKUP(B290,'Maestro Personas'!$B$7:$W$105,22,0)</f>
        <v/>
      </c>
      <c r="F290" s="1" t="str">
        <f>+VLOOKUP(B290,'Maestro Personas'!$B$7:$G$105,6,0)</f>
        <v>Director/a - Comunicaciones</v>
      </c>
    </row>
    <row r="291" ht="15.75" customHeight="1">
      <c r="A291" s="6" t="s">
        <v>1168</v>
      </c>
      <c r="B291" s="6" t="s">
        <v>234</v>
      </c>
      <c r="C291" s="6"/>
      <c r="D291" s="1" t="str">
        <f>+VLOOKUP(B291,'Maestro Personas'!$B$7:$C$105,2,0)</f>
        <v>18.172.756-k</v>
      </c>
      <c r="E291" s="1" t="str">
        <f>+VLOOKUP(B291,'Maestro Personas'!$B$7:$W$105,22,0)</f>
        <v>Bastián</v>
      </c>
      <c r="F291" s="1" t="str">
        <f>+VLOOKUP(B291,'Maestro Personas'!$B$7:$G$105,6,0)</f>
        <v>Consultor/a - Comunicaciones</v>
      </c>
    </row>
    <row r="292" ht="15.75" customHeight="1">
      <c r="A292" s="6" t="s">
        <v>1169</v>
      </c>
      <c r="B292" s="6" t="s">
        <v>183</v>
      </c>
      <c r="C292" s="6"/>
      <c r="D292" s="1" t="str">
        <f>+VLOOKUP(B292,'Maestro Personas'!$B$7:$C$105,2,0)</f>
        <v>26.054.812-3</v>
      </c>
      <c r="E292" s="1" t="str">
        <f>+VLOOKUP(B292,'Maestro Personas'!$B$7:$W$105,22,0)</f>
        <v>Martín</v>
      </c>
      <c r="F292" s="1" t="str">
        <f>+VLOOKUP(B292,'Maestro Personas'!$B$7:$G$105,6,0)</f>
        <v>Director Senior- Digital</v>
      </c>
    </row>
    <row r="293" ht="15.75" customHeight="1">
      <c r="A293" s="6" t="s">
        <v>1169</v>
      </c>
      <c r="B293" s="6" t="s">
        <v>140</v>
      </c>
      <c r="C293" s="6"/>
      <c r="D293" s="1" t="str">
        <f>+VLOOKUP(B293,'Maestro Personas'!$B$7:$C$105,2,0)</f>
        <v>20.075.693-2</v>
      </c>
      <c r="E293" s="1" t="str">
        <f>+VLOOKUP(B293,'Maestro Personas'!$B$7:$W$105,22,0)</f>
        <v>Felipe</v>
      </c>
      <c r="F293" s="1" t="str">
        <f>+VLOOKUP(B293,'Maestro Personas'!$B$7:$G$105,6,0)</f>
        <v>Ejecutivo/a de Cuentas - Digital</v>
      </c>
    </row>
    <row r="294" ht="15.75" customHeight="1">
      <c r="A294" s="6" t="s">
        <v>1169</v>
      </c>
      <c r="B294" s="6" t="s">
        <v>114</v>
      </c>
      <c r="C294" s="6"/>
      <c r="D294" s="1" t="str">
        <f>+VLOOKUP(B294,'Maestro Personas'!$B$7:$C$105,2,0)</f>
        <v>12.019.058-k</v>
      </c>
      <c r="E294" s="1" t="str">
        <f>+VLOOKUP(B294,'Maestro Personas'!$B$7:$W$105,22,0)</f>
        <v/>
      </c>
      <c r="F294" s="1" t="str">
        <f>+VLOOKUP(B294,'Maestro Personas'!$B$7:$G$105,6,0)</f>
        <v>Socio Director</v>
      </c>
    </row>
    <row r="295" ht="15.75" customHeight="1">
      <c r="A295" s="6" t="s">
        <v>1169</v>
      </c>
      <c r="B295" s="6" t="s">
        <v>195</v>
      </c>
      <c r="C295" s="6"/>
      <c r="D295" s="1" t="str">
        <f>+VLOOKUP(B295,'Maestro Personas'!$B$7:$C$105,2,0)</f>
        <v>17.029.247-2</v>
      </c>
      <c r="E295" s="1" t="str">
        <f>+VLOOKUP(B295,'Maestro Personas'!$B$7:$W$105,22,0)</f>
        <v>Felipe</v>
      </c>
      <c r="F295" s="1" t="str">
        <f>+VLOOKUP(B295,'Maestro Personas'!$B$7:$G$105,6,0)</f>
        <v>Consultores - Digital</v>
      </c>
    </row>
    <row r="296" ht="15.75" customHeight="1">
      <c r="A296" s="6" t="s">
        <v>1169</v>
      </c>
      <c r="B296" s="6" t="s">
        <v>252</v>
      </c>
      <c r="C296" s="6"/>
      <c r="D296" s="1" t="str">
        <f>+VLOOKUP(B296,'Maestro Personas'!$B$7:$C$105,2,0)</f>
        <v>19.876.073-0</v>
      </c>
      <c r="E296" s="1" t="str">
        <f>+VLOOKUP(B296,'Maestro Personas'!$B$7:$W$105,22,0)</f>
        <v>Javi</v>
      </c>
      <c r="F296" s="1" t="str">
        <f>+VLOOKUP(B296,'Maestro Personas'!$B$7:$G$105,6,0)</f>
        <v>Consultores Senior - Digital</v>
      </c>
    </row>
    <row r="297" ht="15.75" customHeight="1">
      <c r="A297" s="6" t="s">
        <v>1169</v>
      </c>
      <c r="B297" s="6" t="s">
        <v>309</v>
      </c>
      <c r="C297" s="6"/>
      <c r="D297" s="1" t="str">
        <f>+VLOOKUP(B297,'Maestro Personas'!$B$7:$C$105,2,0)</f>
        <v>15.720.094-1</v>
      </c>
      <c r="E297" s="1" t="str">
        <f>+VLOOKUP(B297,'Maestro Personas'!$B$7:$W$105,22,0)</f>
        <v>Marco</v>
      </c>
      <c r="F297" s="1" t="str">
        <f>+VLOOKUP(B297,'Maestro Personas'!$B$7:$G$105,6,0)</f>
        <v>Director - Digital</v>
      </c>
    </row>
    <row r="298" ht="15.75" customHeight="1">
      <c r="A298" s="6" t="s">
        <v>1169</v>
      </c>
      <c r="B298" s="6" t="s">
        <v>358</v>
      </c>
      <c r="C298" s="6"/>
      <c r="D298" s="1" t="str">
        <f>+VLOOKUP(B298,'Maestro Personas'!$B$7:$C$105,2,0)</f>
        <v>15.438.937-7</v>
      </c>
      <c r="E298" s="1" t="str">
        <f>+VLOOKUP(B298,'Maestro Personas'!$B$7:$W$105,22,0)</f>
        <v>Juvenal</v>
      </c>
      <c r="F298" s="1" t="str">
        <f>+VLOOKUP(B298,'Maestro Personas'!$B$7:$G$105,6,0)</f>
        <v>Consultores Senior - Digital</v>
      </c>
    </row>
    <row r="299" ht="15.75" customHeight="1">
      <c r="A299" s="6" t="s">
        <v>491</v>
      </c>
      <c r="B299" s="6" t="s">
        <v>73</v>
      </c>
      <c r="C299" s="6"/>
      <c r="D299" s="1" t="str">
        <f>+VLOOKUP(B299,'Maestro Personas'!$B$7:$C$105,2,0)</f>
        <v>16.282.327-2</v>
      </c>
      <c r="E299" s="1" t="str">
        <f>+VLOOKUP(B299,'Maestro Personas'!$B$7:$W$105,22,0)</f>
        <v>Jose, JM</v>
      </c>
      <c r="F299" s="1" t="str">
        <f>+VLOOKUP(B299,'Maestro Personas'!$B$7:$G$105,6,0)</f>
        <v>Socio Área Digital</v>
      </c>
    </row>
    <row r="300" ht="15.75" customHeight="1">
      <c r="A300" s="6" t="s">
        <v>491</v>
      </c>
      <c r="B300" s="6" t="s">
        <v>40</v>
      </c>
      <c r="C300" s="6"/>
      <c r="D300" s="1" t="str">
        <f>+VLOOKUP(B300,'Maestro Personas'!$B$7:$C$105,2,0)</f>
        <v>9.766.376-9</v>
      </c>
      <c r="E300" s="1" t="str">
        <f>+VLOOKUP(B300,'Maestro Personas'!$B$7:$W$105,22,0)</f>
        <v>Cristina</v>
      </c>
      <c r="F300" s="1" t="str">
        <f>+VLOOKUP(B300,'Maestro Personas'!$B$7:$G$105,6,0)</f>
        <v>Socio</v>
      </c>
    </row>
    <row r="301" ht="15.75" customHeight="1">
      <c r="A301" s="6" t="s">
        <v>491</v>
      </c>
      <c r="B301" s="6" t="s">
        <v>61</v>
      </c>
      <c r="C301" s="6"/>
      <c r="D301" s="1" t="str">
        <f>+VLOOKUP(B301,'Maestro Personas'!$B$7:$C$105,2,0)</f>
        <v>12.454.685-0</v>
      </c>
      <c r="E301" s="1" t="str">
        <f>+VLOOKUP(B301,'Maestro Personas'!$B$7:$W$105,22,0)</f>
        <v>Vic</v>
      </c>
      <c r="F301" s="1" t="str">
        <f>+VLOOKUP(B301,'Maestro Personas'!$B$7:$G$105,6,0)</f>
        <v>Socio Director</v>
      </c>
    </row>
    <row r="302" ht="15.75" customHeight="1">
      <c r="A302" s="6" t="s">
        <v>491</v>
      </c>
      <c r="B302" s="6" t="s">
        <v>384</v>
      </c>
      <c r="C302" s="6"/>
      <c r="D302" s="1" t="str">
        <f>+VLOOKUP(B302,'Maestro Personas'!$B$7:$C$105,2,0)</f>
        <v>20.936.378-k</v>
      </c>
      <c r="E302" s="1" t="str">
        <f>+VLOOKUP(B302,'Maestro Personas'!$B$7:$W$105,22,0)</f>
        <v/>
      </c>
      <c r="F302" s="1" t="str">
        <f>+VLOOKUP(B302,'Maestro Personas'!$B$7:$G$105,6,0)</f>
        <v>Ejecutivo en IA - Digital</v>
      </c>
    </row>
    <row r="303" ht="15.75" customHeight="1">
      <c r="A303" s="6" t="s">
        <v>491</v>
      </c>
      <c r="B303" s="6" t="s">
        <v>114</v>
      </c>
      <c r="C303" s="6"/>
      <c r="D303" s="1" t="str">
        <f>+VLOOKUP(B303,'Maestro Personas'!$B$7:$C$105,2,0)</f>
        <v>12.019.058-k</v>
      </c>
      <c r="E303" s="1" t="str">
        <f>+VLOOKUP(B303,'Maestro Personas'!$B$7:$W$105,22,0)</f>
        <v/>
      </c>
      <c r="F303" s="1" t="str">
        <f>+VLOOKUP(B303,'Maestro Personas'!$B$7:$G$105,6,0)</f>
        <v>Socio Director</v>
      </c>
    </row>
    <row r="304" ht="15.75" customHeight="1">
      <c r="A304" s="6" t="s">
        <v>491</v>
      </c>
      <c r="B304" s="6" t="s">
        <v>144</v>
      </c>
      <c r="C304" s="6"/>
      <c r="D304" s="1" t="str">
        <f>+VLOOKUP(B304,'Maestro Personas'!$B$7:$C$105,2,0)</f>
        <v>15.341.075-5</v>
      </c>
      <c r="E304" s="1" t="str">
        <f>+VLOOKUP(B304,'Maestro Personas'!$B$7:$W$105,22,0)</f>
        <v>Lisette</v>
      </c>
      <c r="F304" s="1" t="str">
        <f>+VLOOKUP(B304,'Maestro Personas'!$B$7:$G$105,6,0)</f>
        <v>Socio Director</v>
      </c>
    </row>
    <row r="305" ht="15.75" customHeight="1">
      <c r="A305" s="6" t="s">
        <v>491</v>
      </c>
      <c r="B305" s="6" t="s">
        <v>502</v>
      </c>
      <c r="C305" s="6"/>
      <c r="D305" s="1" t="str">
        <f>+VLOOKUP(B305,'Maestro Personas'!$B$7:$C$105,2,0)</f>
        <v>19.438.665-6</v>
      </c>
      <c r="E305" s="1" t="str">
        <f>+VLOOKUP(B305,'Maestro Personas'!$B$7:$W$105,22,0)</f>
        <v>Alex</v>
      </c>
      <c r="F305" s="1" t="str">
        <f>+VLOOKUP(B305,'Maestro Personas'!$B$7:$G$105,6,0)</f>
        <v>Consultor en IA - Digital</v>
      </c>
    </row>
    <row r="306" ht="15.75" customHeight="1">
      <c r="A306" s="6" t="s">
        <v>1170</v>
      </c>
      <c r="B306" s="6" t="s">
        <v>30</v>
      </c>
      <c r="C306" s="6"/>
      <c r="D306" s="1" t="str">
        <f>+VLOOKUP(B306,'Maestro Personas'!$B$7:$C$105,2,0)</f>
        <v>19.300.070-3</v>
      </c>
      <c r="E306" s="1" t="str">
        <f>+VLOOKUP(B306,'Maestro Personas'!$B$7:$W$105,22,0)</f>
        <v>Sandra</v>
      </c>
      <c r="F306" s="1" t="str">
        <f>+VLOOKUP(B306,'Maestro Personas'!$B$7:$G$105,6,0)</f>
        <v>Consultores - Digital</v>
      </c>
    </row>
    <row r="307" ht="15.75" customHeight="1">
      <c r="A307" s="6" t="s">
        <v>1170</v>
      </c>
      <c r="B307" s="6" t="s">
        <v>395</v>
      </c>
      <c r="C307" s="6"/>
      <c r="D307" s="1" t="str">
        <f>+VLOOKUP(B307,'Maestro Personas'!$B$7:$C$105,2,0)</f>
        <v>18.636.911-4</v>
      </c>
      <c r="E307" s="1" t="str">
        <f>+VLOOKUP(B307,'Maestro Personas'!$B$7:$W$105,22,0)</f>
        <v>Nieves</v>
      </c>
      <c r="F307" s="1" t="str">
        <f>+VLOOKUP(B307,'Maestro Personas'!$B$7:$G$105,6,0)</f>
        <v>Ejecutivo/a - AAPP</v>
      </c>
    </row>
    <row r="308" ht="15.75" customHeight="1">
      <c r="A308" s="6" t="s">
        <v>1170</v>
      </c>
      <c r="B308" s="6" t="s">
        <v>40</v>
      </c>
      <c r="C308" s="6"/>
      <c r="D308" s="1" t="str">
        <f>+VLOOKUP(B308,'Maestro Personas'!$B$7:$C$105,2,0)</f>
        <v>9.766.376-9</v>
      </c>
      <c r="E308" s="1" t="str">
        <f>+VLOOKUP(B308,'Maestro Personas'!$B$7:$W$105,22,0)</f>
        <v>Cristina</v>
      </c>
      <c r="F308" s="1" t="str">
        <f>+VLOOKUP(B308,'Maestro Personas'!$B$7:$G$105,6,0)</f>
        <v>Socio</v>
      </c>
    </row>
    <row r="309" ht="15.75" customHeight="1">
      <c r="A309" s="6" t="s">
        <v>1170</v>
      </c>
      <c r="B309" s="6" t="s">
        <v>203</v>
      </c>
      <c r="C309" s="6"/>
      <c r="D309" s="1" t="str">
        <f>+VLOOKUP(B309,'Maestro Personas'!$B$7:$C$105,2,0)</f>
        <v>8.344.585-8</v>
      </c>
      <c r="E309" s="1" t="str">
        <f>+VLOOKUP(B309,'Maestro Personas'!$B$7:$W$105,22,0)</f>
        <v>Bego</v>
      </c>
      <c r="F309" s="1" t="str">
        <f>+VLOOKUP(B309,'Maestro Personas'!$B$7:$G$105,6,0)</f>
        <v>Socio Director</v>
      </c>
    </row>
    <row r="310" ht="15.75" customHeight="1">
      <c r="A310" s="6" t="s">
        <v>1170</v>
      </c>
      <c r="B310" s="6" t="s">
        <v>338</v>
      </c>
      <c r="C310" s="6"/>
      <c r="D310" s="1" t="str">
        <f>+VLOOKUP(B310,'Maestro Personas'!$B$7:$C$105,2,0)</f>
        <v>13.253.184-6</v>
      </c>
      <c r="E310" s="1" t="str">
        <f>+VLOOKUP(B310,'Maestro Personas'!$B$7:$W$105,22,0)</f>
        <v/>
      </c>
      <c r="F310" s="1" t="str">
        <f>+VLOOKUP(B310,'Maestro Personas'!$B$7:$G$105,6,0)</f>
        <v>Director de Área de Estudios Sociales y Políticos</v>
      </c>
    </row>
    <row r="311" ht="15.75" customHeight="1">
      <c r="A311" s="6" t="s">
        <v>1170</v>
      </c>
      <c r="B311" s="6" t="s">
        <v>188</v>
      </c>
      <c r="C311" s="6"/>
      <c r="D311" s="1" t="str">
        <f>+VLOOKUP(B311,'Maestro Personas'!$B$7:$C$105,2,0)</f>
        <v>15.332.168-k</v>
      </c>
      <c r="E311" s="1" t="str">
        <f>+VLOOKUP(B311,'Maestro Personas'!$B$7:$W$105,22,0)</f>
        <v/>
      </c>
      <c r="F311" s="1" t="str">
        <f>+VLOOKUP(B311,'Maestro Personas'!$B$7:$G$105,6,0)</f>
        <v>Consultor/a Senior - Comunicaciones</v>
      </c>
    </row>
    <row r="312" ht="15.75" customHeight="1">
      <c r="A312" s="6" t="s">
        <v>1170</v>
      </c>
      <c r="B312" s="6" t="s">
        <v>299</v>
      </c>
      <c r="C312" s="6"/>
      <c r="D312" s="1" t="str">
        <f>+VLOOKUP(B312,'Maestro Personas'!$B$7:$C$105,2,0)</f>
        <v>17.108.779-1</v>
      </c>
      <c r="E312" s="1" t="str">
        <f>+VLOOKUP(B312,'Maestro Personas'!$B$7:$W$105,22,0)</f>
        <v>Anita</v>
      </c>
      <c r="F312" s="1" t="str">
        <f>+VLOOKUP(B312,'Maestro Personas'!$B$7:$G$105,6,0)</f>
        <v>Ejecutivo/a - Comunicaciones</v>
      </c>
    </row>
    <row r="313" ht="15.75" customHeight="1">
      <c r="A313" s="6" t="s">
        <v>1170</v>
      </c>
      <c r="B313" s="6" t="s">
        <v>133</v>
      </c>
      <c r="C313" s="6"/>
      <c r="D313" s="1" t="str">
        <f>+VLOOKUP(B313,'Maestro Personas'!$B$7:$C$105,2,0)</f>
        <v>15.959.738-5</v>
      </c>
      <c r="E313" s="1" t="str">
        <f>+VLOOKUP(B313,'Maestro Personas'!$B$7:$W$105,22,0)</f>
        <v>Javi</v>
      </c>
      <c r="F313" s="1" t="str">
        <f>+VLOOKUP(B313,'Maestro Personas'!$B$7:$G$105,6,0)</f>
        <v>Director/a - AAPP</v>
      </c>
    </row>
    <row r="314" ht="15.75" customHeight="1">
      <c r="A314" s="6" t="s">
        <v>1171</v>
      </c>
      <c r="B314" s="6" t="s">
        <v>30</v>
      </c>
      <c r="C314" s="6"/>
      <c r="D314" s="1" t="str">
        <f>+VLOOKUP(B314,'Maestro Personas'!$B$7:$C$105,2,0)</f>
        <v>19.300.070-3</v>
      </c>
      <c r="E314" s="1" t="str">
        <f>+VLOOKUP(B314,'Maestro Personas'!$B$7:$W$105,22,0)</f>
        <v>Sandra</v>
      </c>
      <c r="F314" s="1" t="str">
        <f>+VLOOKUP(B314,'Maestro Personas'!$B$7:$G$105,6,0)</f>
        <v>Consultores - Digital</v>
      </c>
    </row>
    <row r="315" ht="15.75" customHeight="1">
      <c r="A315" s="6" t="s">
        <v>1171</v>
      </c>
      <c r="B315" s="6" t="s">
        <v>61</v>
      </c>
      <c r="C315" s="6"/>
      <c r="D315" s="1" t="str">
        <f>+VLOOKUP(B315,'Maestro Personas'!$B$7:$C$105,2,0)</f>
        <v>12.454.685-0</v>
      </c>
      <c r="E315" s="1" t="str">
        <f>+VLOOKUP(B315,'Maestro Personas'!$B$7:$W$105,22,0)</f>
        <v>Vic</v>
      </c>
      <c r="F315" s="1" t="str">
        <f>+VLOOKUP(B315,'Maestro Personas'!$B$7:$G$105,6,0)</f>
        <v>Socio Director</v>
      </c>
    </row>
    <row r="316" ht="15.75" customHeight="1">
      <c r="A316" s="6" t="s">
        <v>1171</v>
      </c>
      <c r="B316" s="6" t="s">
        <v>338</v>
      </c>
      <c r="C316" s="6"/>
      <c r="D316" s="1" t="str">
        <f>+VLOOKUP(B316,'Maestro Personas'!$B$7:$C$105,2,0)</f>
        <v>13.253.184-6</v>
      </c>
      <c r="E316" s="1" t="str">
        <f>+VLOOKUP(B316,'Maestro Personas'!$B$7:$W$105,22,0)</f>
        <v/>
      </c>
      <c r="F316" s="1" t="str">
        <f>+VLOOKUP(B316,'Maestro Personas'!$B$7:$G$105,6,0)</f>
        <v>Director de Área de Estudios Sociales y Políticos</v>
      </c>
    </row>
    <row r="317" ht="15.75" customHeight="1">
      <c r="A317" s="6" t="s">
        <v>1171</v>
      </c>
      <c r="B317" s="6" t="s">
        <v>122</v>
      </c>
      <c r="C317" s="6"/>
      <c r="D317" s="1" t="str">
        <f>+VLOOKUP(B317,'Maestro Personas'!$B$7:$C$105,2,0)</f>
        <v>26.965.314-0</v>
      </c>
      <c r="E317" s="1" t="str">
        <f>+VLOOKUP(B317,'Maestro Personas'!$B$7:$W$105,22,0)</f>
        <v>Reimar, Rei</v>
      </c>
      <c r="F317" s="1" t="str">
        <f>+VLOOKUP(B317,'Maestro Personas'!$B$7:$G$105,6,0)</f>
        <v>Ejecutivo/a de Cuentas - Digital</v>
      </c>
    </row>
    <row r="318" ht="15.75" customHeight="1">
      <c r="A318" s="6" t="s">
        <v>1171</v>
      </c>
      <c r="B318" s="6" t="s">
        <v>245</v>
      </c>
      <c r="C318" s="6"/>
      <c r="D318" s="1" t="str">
        <f>+VLOOKUP(B318,'Maestro Personas'!$B$7:$C$105,2,0)</f>
        <v>17.353.392-6</v>
      </c>
      <c r="E318" s="1" t="str">
        <f>+VLOOKUP(B318,'Maestro Personas'!$B$7:$W$105,22,0)</f>
        <v>Taqui</v>
      </c>
      <c r="F318" s="1" t="str">
        <f>+VLOOKUP(B318,'Maestro Personas'!$B$7:$G$105,6,0)</f>
        <v>Consultor/a Senior - Comunicaciones</v>
      </c>
    </row>
    <row r="319" ht="15.75" customHeight="1">
      <c r="A319" s="6" t="s">
        <v>1171</v>
      </c>
      <c r="B319" s="6" t="s">
        <v>263</v>
      </c>
      <c r="C319" s="6"/>
      <c r="D319" s="1" t="str">
        <f>+VLOOKUP(B319,'Maestro Personas'!$B$7:$C$105,2,0)</f>
        <v>11.709.203-8</v>
      </c>
      <c r="E319" s="1" t="str">
        <f>+VLOOKUP(B319,'Maestro Personas'!$B$7:$W$105,22,0)</f>
        <v>Claudio</v>
      </c>
      <c r="F319" s="1" t="str">
        <f>+VLOOKUP(B319,'Maestro Personas'!$B$7:$G$105,6,0)</f>
        <v>Consultor/a Senior - AAPP</v>
      </c>
    </row>
    <row r="320" ht="15.75" customHeight="1">
      <c r="A320" s="6" t="s">
        <v>1171</v>
      </c>
      <c r="B320" s="6" t="s">
        <v>352</v>
      </c>
      <c r="C320" s="6"/>
      <c r="D320" s="1" t="str">
        <f>+VLOOKUP(B320,'Maestro Personas'!$B$7:$C$105,2,0)</f>
        <v>15.642.655-5</v>
      </c>
      <c r="E320" s="1" t="str">
        <f>+VLOOKUP(B320,'Maestro Personas'!$B$7:$W$105,22,0)</f>
        <v>Maca</v>
      </c>
      <c r="F320" s="1" t="str">
        <f>+VLOOKUP(B320,'Maestro Personas'!$B$7:$G$105,6,0)</f>
        <v>Director/a - Comunicaciones</v>
      </c>
    </row>
    <row r="321" ht="15.75" customHeight="1">
      <c r="A321" s="6" t="s">
        <v>1171</v>
      </c>
      <c r="B321" s="6" t="s">
        <v>481</v>
      </c>
      <c r="C321" s="6"/>
      <c r="D321" s="1" t="str">
        <f>+VLOOKUP(B321,'Maestro Personas'!$B$7:$C$105,2,0)</f>
        <v>13.038.126-k</v>
      </c>
      <c r="E321" s="1" t="str">
        <f>+VLOOKUP(B321,'Maestro Personas'!$B$7:$W$105,22,0)</f>
        <v>Sandra</v>
      </c>
      <c r="F321" s="1" t="str">
        <f>+VLOOKUP(B321,'Maestro Personas'!$B$7:$G$105,6,0)</f>
        <v>Consultor/a - Prensa</v>
      </c>
    </row>
    <row r="322" ht="15.75" customHeight="1">
      <c r="A322" s="6" t="s">
        <v>1172</v>
      </c>
      <c r="B322" s="6" t="s">
        <v>30</v>
      </c>
      <c r="C322" s="6"/>
      <c r="D322" s="1" t="str">
        <f>+VLOOKUP(B322,'Maestro Personas'!$B$7:$C$105,2,0)</f>
        <v>19.300.070-3</v>
      </c>
      <c r="E322" s="1" t="str">
        <f>+VLOOKUP(B322,'Maestro Personas'!$B$7:$W$105,22,0)</f>
        <v>Sandra</v>
      </c>
      <c r="F322" s="1" t="str">
        <f>+VLOOKUP(B322,'Maestro Personas'!$B$7:$G$105,6,0)</f>
        <v>Consultores - Digital</v>
      </c>
    </row>
    <row r="323" ht="15.75" customHeight="1">
      <c r="A323" s="6" t="s">
        <v>1172</v>
      </c>
      <c r="B323" s="6" t="s">
        <v>266</v>
      </c>
      <c r="C323" s="6"/>
      <c r="D323" s="1" t="str">
        <f>+VLOOKUP(B323,'Maestro Personas'!$B$7:$C$105,2,0)</f>
        <v>18.845.158-6</v>
      </c>
      <c r="E323" s="1" t="str">
        <f>+VLOOKUP(B323,'Maestro Personas'!$B$7:$W$105,22,0)</f>
        <v>Sari</v>
      </c>
      <c r="F323" s="1" t="str">
        <f>+VLOOKUP(B323,'Maestro Personas'!$B$7:$G$105,6,0)</f>
        <v>Consultor/a Senior - Comunicaciones</v>
      </c>
    </row>
    <row r="324" ht="15.75" customHeight="1">
      <c r="A324" s="6" t="s">
        <v>1172</v>
      </c>
      <c r="B324" s="6" t="s">
        <v>409</v>
      </c>
      <c r="C324" s="6"/>
      <c r="D324" s="1" t="str">
        <f>+VLOOKUP(B324,'Maestro Personas'!$B$7:$C$105,2,0)</f>
        <v>28.759.573-5</v>
      </c>
      <c r="E324" s="1" t="str">
        <f>+VLOOKUP(B324,'Maestro Personas'!$B$7:$W$105,22,0)</f>
        <v>Irene</v>
      </c>
      <c r="F324" s="1" t="str">
        <f>+VLOOKUP(B324,'Maestro Personas'!$B$7:$G$105,6,0)</f>
        <v>Consultor/a Senior - Comunicaciones</v>
      </c>
    </row>
    <row r="325" ht="15.75" customHeight="1">
      <c r="A325" s="6" t="s">
        <v>1172</v>
      </c>
      <c r="B325" s="6" t="s">
        <v>113</v>
      </c>
      <c r="C325" s="6"/>
      <c r="D325" s="1" t="str">
        <f>+VLOOKUP(B325,'Maestro Personas'!$B$7:$C$105,2,0)</f>
        <v>17.950.016-7</v>
      </c>
      <c r="E325" s="1" t="str">
        <f>+VLOOKUP(B325,'Maestro Personas'!$B$7:$W$105,22,0)</f>
        <v>Dani</v>
      </c>
      <c r="F325" s="1" t="str">
        <f>+VLOOKUP(B325,'Maestro Personas'!$B$7:$G$105,6,0)</f>
        <v>Director/a - AAPP</v>
      </c>
    </row>
    <row r="326" ht="15.75" customHeight="1">
      <c r="A326" s="6" t="s">
        <v>1172</v>
      </c>
      <c r="B326" s="6" t="s">
        <v>66</v>
      </c>
      <c r="C326" s="6"/>
      <c r="D326" s="1" t="str">
        <f>+VLOOKUP(B326,'Maestro Personas'!$B$7:$C$105,2,0)</f>
        <v>10.818.275-k</v>
      </c>
      <c r="E326" s="1" t="str">
        <f>+VLOOKUP(B326,'Maestro Personas'!$B$7:$W$105,22,0)</f>
        <v>Felipe</v>
      </c>
      <c r="F326" s="1" t="str">
        <f>+VLOOKUP(B326,'Maestro Personas'!$B$7:$G$105,6,0)</f>
        <v>Socio</v>
      </c>
    </row>
    <row r="327" ht="15.75" customHeight="1">
      <c r="A327" s="6" t="s">
        <v>1172</v>
      </c>
      <c r="B327" s="6" t="s">
        <v>213</v>
      </c>
      <c r="C327" s="6"/>
      <c r="D327" s="1" t="str">
        <f>+VLOOKUP(B327,'Maestro Personas'!$B$7:$C$105,2,0)</f>
        <v>19.963.668-5</v>
      </c>
      <c r="E327" s="1" t="str">
        <f>+VLOOKUP(B327,'Maestro Personas'!$B$7:$W$105,22,0)</f>
        <v>Trini</v>
      </c>
      <c r="F327" s="1" t="str">
        <f>+VLOOKUP(B327,'Maestro Personas'!$B$7:$G$105,6,0)</f>
        <v>Ejecutivo/a - Comunicaciones</v>
      </c>
    </row>
    <row r="328" ht="15.75" customHeight="1">
      <c r="A328" s="6" t="s">
        <v>1172</v>
      </c>
      <c r="B328" s="6" t="s">
        <v>416</v>
      </c>
      <c r="C328" s="6"/>
      <c r="D328" s="1" t="str">
        <f>+VLOOKUP(B328,'Maestro Personas'!$B$7:$C$105,2,0)</f>
        <v>15.318.696-0</v>
      </c>
      <c r="E328" s="1" t="str">
        <f>+VLOOKUP(B328,'Maestro Personas'!$B$7:$W$105,22,0)</f>
        <v>Pau</v>
      </c>
      <c r="F328" s="1" t="str">
        <f>+VLOOKUP(B328,'Maestro Personas'!$B$7:$G$105,6,0)</f>
        <v>Director/a Senior - Comunicaciones</v>
      </c>
    </row>
    <row r="329" ht="15.75" customHeight="1">
      <c r="A329" s="6" t="s">
        <v>1172</v>
      </c>
      <c r="B329" s="6" t="s">
        <v>122</v>
      </c>
      <c r="C329" s="6"/>
      <c r="D329" s="1" t="str">
        <f>+VLOOKUP(B329,'Maestro Personas'!$B$7:$C$105,2,0)</f>
        <v>26.965.314-0</v>
      </c>
      <c r="E329" s="1" t="str">
        <f>+VLOOKUP(B329,'Maestro Personas'!$B$7:$W$105,22,0)</f>
        <v>Reimar, Rei</v>
      </c>
      <c r="F329" s="1" t="str">
        <f>+VLOOKUP(B329,'Maestro Personas'!$B$7:$G$105,6,0)</f>
        <v>Ejecutivo/a de Cuentas - Digital</v>
      </c>
    </row>
    <row r="330" ht="15.75" customHeight="1">
      <c r="A330" s="6" t="s">
        <v>1172</v>
      </c>
      <c r="B330" s="6" t="s">
        <v>245</v>
      </c>
      <c r="C330" s="6"/>
      <c r="D330" s="1" t="str">
        <f>+VLOOKUP(B330,'Maestro Personas'!$B$7:$C$105,2,0)</f>
        <v>17.353.392-6</v>
      </c>
      <c r="E330" s="1" t="str">
        <f>+VLOOKUP(B330,'Maestro Personas'!$B$7:$W$105,22,0)</f>
        <v>Taqui</v>
      </c>
      <c r="F330" s="1" t="str">
        <f>+VLOOKUP(B330,'Maestro Personas'!$B$7:$G$105,6,0)</f>
        <v>Consultor/a Senior - Comunicaciones</v>
      </c>
    </row>
    <row r="331" ht="15.75" customHeight="1">
      <c r="A331" s="6" t="s">
        <v>1172</v>
      </c>
      <c r="B331" s="6" t="s">
        <v>476</v>
      </c>
      <c r="C331" s="6"/>
      <c r="D331" s="1" t="str">
        <f>+VLOOKUP(B331,'Maestro Personas'!$B$7:$C$105,2,0)</f>
        <v>8.639.242-9</v>
      </c>
      <c r="E331" s="1" t="str">
        <f>+VLOOKUP(B331,'Maestro Personas'!$B$7:$W$105,22,0)</f>
        <v>Isa</v>
      </c>
      <c r="F331" s="1" t="str">
        <f>+VLOOKUP(B331,'Maestro Personas'!$B$7:$G$105,6,0)</f>
        <v>Director/a - Comunicaciones</v>
      </c>
    </row>
    <row r="332" ht="15.75" customHeight="1">
      <c r="A332" s="6" t="s">
        <v>1173</v>
      </c>
      <c r="B332" s="6" t="s">
        <v>127</v>
      </c>
      <c r="C332" s="6"/>
      <c r="D332" s="1" t="str">
        <f>+VLOOKUP(B332,'Maestro Personas'!$B$7:$C$105,2,0)</f>
        <v>20.909.557-2</v>
      </c>
      <c r="E332" s="1" t="str">
        <f>+VLOOKUP(B332,'Maestro Personas'!$B$7:$W$105,22,0)</f>
        <v/>
      </c>
      <c r="F332" s="1" t="str">
        <f>+VLOOKUP(B332,'Maestro Personas'!$B$7:$G$105,6,0)</f>
        <v>Trainee</v>
      </c>
    </row>
    <row r="333" ht="15.75" customHeight="1">
      <c r="A333" s="6" t="s">
        <v>1173</v>
      </c>
      <c r="B333" s="6" t="s">
        <v>59</v>
      </c>
      <c r="C333" s="6"/>
      <c r="D333" s="1" t="str">
        <f>+VLOOKUP(B333,'Maestro Personas'!$B$7:$C$105,2,0)</f>
        <v>8.929.175-5</v>
      </c>
      <c r="E333" s="1" t="str">
        <f>+VLOOKUP(B333,'Maestro Personas'!$B$7:$W$105,22,0)</f>
        <v/>
      </c>
      <c r="F333" s="1" t="str">
        <f>+VLOOKUP(B333,'Maestro Personas'!$B$7:$G$105,6,0)</f>
        <v>Socio Director</v>
      </c>
    </row>
    <row r="334" ht="15.75" customHeight="1">
      <c r="A334" s="6" t="s">
        <v>1173</v>
      </c>
      <c r="B334" s="6" t="s">
        <v>83</v>
      </c>
      <c r="C334" s="6"/>
      <c r="D334" s="1" t="str">
        <f>+VLOOKUP(B334,'Maestro Personas'!$B$7:$C$105,2,0)</f>
        <v>14.045.482-6</v>
      </c>
      <c r="E334" s="1" t="str">
        <f>+VLOOKUP(B334,'Maestro Personas'!$B$7:$W$105,22,0)</f>
        <v>Ian</v>
      </c>
      <c r="F334" s="1" t="str">
        <f>+VLOOKUP(B334,'Maestro Personas'!$B$7:$G$105,6,0)</f>
        <v>Socio Director</v>
      </c>
    </row>
    <row r="335" ht="15.75" customHeight="1">
      <c r="A335" s="6" t="s">
        <v>1173</v>
      </c>
      <c r="B335" s="6" t="s">
        <v>150</v>
      </c>
      <c r="C335" s="6"/>
      <c r="D335" s="1" t="str">
        <f>+VLOOKUP(B335,'Maestro Personas'!$B$7:$C$105,2,0)</f>
        <v>18.588.568-2</v>
      </c>
      <c r="E335" s="1" t="str">
        <f>+VLOOKUP(B335,'Maestro Personas'!$B$7:$W$105,22,0)</f>
        <v>Ana</v>
      </c>
      <c r="F335" s="1" t="str">
        <f>+VLOOKUP(B335,'Maestro Personas'!$B$7:$G$105,6,0)</f>
        <v>Consultor/a - AAPP</v>
      </c>
    </row>
    <row r="336" ht="15.75" customHeight="1">
      <c r="A336" s="6" t="s">
        <v>1174</v>
      </c>
      <c r="B336" s="6" t="s">
        <v>203</v>
      </c>
      <c r="C336" s="6"/>
      <c r="D336" s="1" t="str">
        <f>+VLOOKUP(B336,'Maestro Personas'!$B$7:$C$105,2,0)</f>
        <v>8.344.585-8</v>
      </c>
      <c r="E336" s="1" t="str">
        <f>+VLOOKUP(B336,'Maestro Personas'!$B$7:$W$105,22,0)</f>
        <v>Bego</v>
      </c>
      <c r="F336" s="1" t="str">
        <f>+VLOOKUP(B336,'Maestro Personas'!$B$7:$G$105,6,0)</f>
        <v>Socio Director</v>
      </c>
    </row>
    <row r="337" ht="15.75" customHeight="1">
      <c r="A337" s="6" t="s">
        <v>1174</v>
      </c>
      <c r="B337" s="6" t="s">
        <v>261</v>
      </c>
      <c r="C337" s="6"/>
      <c r="D337" s="1" t="str">
        <f>+VLOOKUP(B337,'Maestro Personas'!$B$7:$C$105,2,0)</f>
        <v>12.659.237-k</v>
      </c>
      <c r="E337" s="1" t="str">
        <f>+VLOOKUP(B337,'Maestro Personas'!$B$7:$W$105,22,0)</f>
        <v/>
      </c>
      <c r="F337" s="1" t="str">
        <f>+VLOOKUP(B337,'Maestro Personas'!$B$7:$G$105,6,0)</f>
        <v>Director/a Senior - Comunicaciones</v>
      </c>
    </row>
    <row r="338" ht="15.75" customHeight="1">
      <c r="A338" s="6" t="s">
        <v>1175</v>
      </c>
      <c r="B338" s="6" t="s">
        <v>59</v>
      </c>
      <c r="C338" s="6"/>
      <c r="D338" s="1" t="str">
        <f>+VLOOKUP(B338,'Maestro Personas'!$B$7:$C$105,2,0)</f>
        <v>8.929.175-5</v>
      </c>
      <c r="E338" s="1" t="str">
        <f>+VLOOKUP(B338,'Maestro Personas'!$B$7:$W$105,22,0)</f>
        <v/>
      </c>
      <c r="F338" s="1" t="str">
        <f>+VLOOKUP(B338,'Maestro Personas'!$B$7:$G$105,6,0)</f>
        <v>Socio Director</v>
      </c>
    </row>
    <row r="339" ht="15.75" customHeight="1">
      <c r="A339" s="6" t="s">
        <v>1175</v>
      </c>
      <c r="B339" s="6" t="s">
        <v>133</v>
      </c>
      <c r="C339" s="6"/>
      <c r="D339" s="1" t="str">
        <f>+VLOOKUP(B339,'Maestro Personas'!$B$7:$C$105,2,0)</f>
        <v>15.959.738-5</v>
      </c>
      <c r="E339" s="1" t="str">
        <f>+VLOOKUP(B339,'Maestro Personas'!$B$7:$W$105,22,0)</f>
        <v>Javi</v>
      </c>
      <c r="F339" s="1" t="str">
        <f>+VLOOKUP(B339,'Maestro Personas'!$B$7:$G$105,6,0)</f>
        <v>Director/a - AAPP</v>
      </c>
    </row>
    <row r="340" ht="15.75" customHeight="1">
      <c r="A340" s="6" t="s">
        <v>1176</v>
      </c>
      <c r="B340" s="6" t="s">
        <v>61</v>
      </c>
      <c r="C340" s="6"/>
      <c r="D340" s="1" t="str">
        <f>+VLOOKUP(B340,'Maestro Personas'!$B$7:$C$105,2,0)</f>
        <v>12.454.685-0</v>
      </c>
      <c r="E340" s="1" t="str">
        <f>+VLOOKUP(B340,'Maestro Personas'!$B$7:$W$105,22,0)</f>
        <v>Vic</v>
      </c>
      <c r="F340" s="1" t="str">
        <f>+VLOOKUP(B340,'Maestro Personas'!$B$7:$G$105,6,0)</f>
        <v>Socio Director</v>
      </c>
    </row>
    <row r="341" ht="15.75" customHeight="1">
      <c r="A341" s="6" t="s">
        <v>1176</v>
      </c>
      <c r="B341" s="6" t="s">
        <v>164</v>
      </c>
      <c r="C341" s="6"/>
      <c r="D341" s="1" t="str">
        <f>+VLOOKUP(B341,'Maestro Personas'!$B$7:$C$105,2,0)</f>
        <v>15.722.742-4</v>
      </c>
      <c r="E341" s="1" t="str">
        <f>+VLOOKUP(B341,'Maestro Personas'!$B$7:$W$105,22,0)</f>
        <v>Robert</v>
      </c>
      <c r="F341" s="1" t="str">
        <f>+VLOOKUP(B341,'Maestro Personas'!$B$7:$G$105,6,0)</f>
        <v>Director/a - AAPP</v>
      </c>
    </row>
    <row r="342" ht="15.75" customHeight="1">
      <c r="A342" s="6" t="s">
        <v>1176</v>
      </c>
      <c r="B342" s="6" t="s">
        <v>288</v>
      </c>
      <c r="C342" s="6"/>
      <c r="D342" s="1" t="str">
        <f>+VLOOKUP(B342,'Maestro Personas'!$B$7:$C$105,2,0)</f>
        <v>20.075.913-3</v>
      </c>
      <c r="E342" s="1" t="str">
        <f>+VLOOKUP(B342,'Maestro Personas'!$B$7:$W$105,22,0)</f>
        <v/>
      </c>
      <c r="F342" s="1" t="str">
        <f>+VLOOKUP(B342,'Maestro Personas'!$B$7:$G$105,6,0)</f>
        <v>Ejecutivo/a - Comunicaciones</v>
      </c>
    </row>
    <row r="343" ht="15.75" customHeight="1">
      <c r="A343" s="6" t="s">
        <v>1176</v>
      </c>
      <c r="B343" s="6" t="s">
        <v>59</v>
      </c>
      <c r="C343" s="6"/>
      <c r="D343" s="1" t="str">
        <f>+VLOOKUP(B343,'Maestro Personas'!$B$7:$C$105,2,0)</f>
        <v>8.929.175-5</v>
      </c>
      <c r="E343" s="1" t="str">
        <f>+VLOOKUP(B343,'Maestro Personas'!$B$7:$W$105,22,0)</f>
        <v/>
      </c>
      <c r="F343" s="1" t="str">
        <f>+VLOOKUP(B343,'Maestro Personas'!$B$7:$G$105,6,0)</f>
        <v>Socio Director</v>
      </c>
    </row>
    <row r="344" ht="15.75" customHeight="1">
      <c r="A344" s="6" t="s">
        <v>1176</v>
      </c>
      <c r="B344" s="6" t="s">
        <v>234</v>
      </c>
      <c r="C344" s="6"/>
      <c r="D344" s="1" t="str">
        <f>+VLOOKUP(B344,'Maestro Personas'!$B$7:$C$105,2,0)</f>
        <v>18.172.756-k</v>
      </c>
      <c r="E344" s="1" t="str">
        <f>+VLOOKUP(B344,'Maestro Personas'!$B$7:$W$105,22,0)</f>
        <v>Bastián</v>
      </c>
      <c r="F344" s="1" t="str">
        <f>+VLOOKUP(B344,'Maestro Personas'!$B$7:$G$105,6,0)</f>
        <v>Consultor/a - Comunicaciones</v>
      </c>
    </row>
    <row r="345" ht="15.75" customHeight="1">
      <c r="A345" s="6" t="s">
        <v>1176</v>
      </c>
      <c r="B345" s="6" t="s">
        <v>122</v>
      </c>
      <c r="C345" s="6"/>
      <c r="D345" s="1" t="str">
        <f>+VLOOKUP(B345,'Maestro Personas'!$B$7:$C$105,2,0)</f>
        <v>26.965.314-0</v>
      </c>
      <c r="E345" s="1" t="str">
        <f>+VLOOKUP(B345,'Maestro Personas'!$B$7:$W$105,22,0)</f>
        <v>Reimar, Rei</v>
      </c>
      <c r="F345" s="1" t="str">
        <f>+VLOOKUP(B345,'Maestro Personas'!$B$7:$G$105,6,0)</f>
        <v>Ejecutivo/a de Cuentas - Digital</v>
      </c>
    </row>
    <row r="346" ht="15.75" customHeight="1">
      <c r="A346" s="6" t="s">
        <v>1176</v>
      </c>
      <c r="B346" s="6" t="s">
        <v>343</v>
      </c>
      <c r="C346" s="6"/>
      <c r="D346" s="1" t="str">
        <f>+VLOOKUP(B346,'Maestro Personas'!$B$7:$C$105,2,0)</f>
        <v>17.028.885-8</v>
      </c>
      <c r="E346" s="1" t="str">
        <f>+VLOOKUP(B346,'Maestro Personas'!$B$7:$W$105,22,0)</f>
        <v>Mane</v>
      </c>
      <c r="F346" s="1" t="str">
        <f>+VLOOKUP(B346,'Maestro Personas'!$B$7:$G$105,6,0)</f>
        <v>Consultor/a Senior - Comunicaciones</v>
      </c>
    </row>
    <row r="347" ht="15.75" customHeight="1">
      <c r="A347" s="6" t="s">
        <v>1177</v>
      </c>
      <c r="B347" s="6" t="s">
        <v>160</v>
      </c>
      <c r="C347" s="6"/>
      <c r="D347" s="1" t="str">
        <f>+VLOOKUP(B347,'Maestro Personas'!$B$7:$C$105,2,0)</f>
        <v>17.407.755-k</v>
      </c>
      <c r="E347" s="1" t="str">
        <f>+VLOOKUP(B347,'Maestro Personas'!$B$7:$W$105,22,0)</f>
        <v>Stefano</v>
      </c>
      <c r="F347" s="1" t="str">
        <f>+VLOOKUP(B347,'Maestro Personas'!$B$7:$G$105,6,0)</f>
        <v>Consultor/a Senior - AAPP</v>
      </c>
    </row>
    <row r="348" ht="15.75" customHeight="1">
      <c r="A348" s="6" t="s">
        <v>1177</v>
      </c>
      <c r="B348" s="6" t="s">
        <v>164</v>
      </c>
      <c r="C348" s="6"/>
      <c r="D348" s="1" t="str">
        <f>+VLOOKUP(B348,'Maestro Personas'!$B$7:$C$105,2,0)</f>
        <v>15.722.742-4</v>
      </c>
      <c r="E348" s="1" t="str">
        <f>+VLOOKUP(B348,'Maestro Personas'!$B$7:$W$105,22,0)</f>
        <v>Robert</v>
      </c>
      <c r="F348" s="1" t="str">
        <f>+VLOOKUP(B348,'Maestro Personas'!$B$7:$G$105,6,0)</f>
        <v>Director/a - AAPP</v>
      </c>
    </row>
    <row r="349" ht="15.75" customHeight="1">
      <c r="A349" s="6" t="s">
        <v>1177</v>
      </c>
      <c r="B349" s="6" t="s">
        <v>59</v>
      </c>
      <c r="C349" s="6"/>
      <c r="D349" s="1" t="str">
        <f>+VLOOKUP(B349,'Maestro Personas'!$B$7:$C$105,2,0)</f>
        <v>8.929.175-5</v>
      </c>
      <c r="E349" s="1" t="str">
        <f>+VLOOKUP(B349,'Maestro Personas'!$B$7:$W$105,22,0)</f>
        <v/>
      </c>
      <c r="F349" s="1" t="str">
        <f>+VLOOKUP(B349,'Maestro Personas'!$B$7:$G$105,6,0)</f>
        <v>Socio Director</v>
      </c>
    </row>
    <row r="350" ht="15.75" customHeight="1">
      <c r="A350" s="6" t="s">
        <v>1178</v>
      </c>
      <c r="B350" s="6" t="s">
        <v>93</v>
      </c>
      <c r="C350" s="6"/>
      <c r="D350" s="1" t="str">
        <f>+VLOOKUP(B350,'Maestro Personas'!$B$7:$C$105,2,0)</f>
        <v>13.529.165-k</v>
      </c>
      <c r="E350" s="1" t="str">
        <f>+VLOOKUP(B350,'Maestro Personas'!$B$7:$W$105,22,0)</f>
        <v>Juan Andrés</v>
      </c>
      <c r="F350" s="1" t="str">
        <f>+VLOOKUP(B350,'Maestro Personas'!$B$7:$G$105,6,0)</f>
        <v>Director/a - AAPP</v>
      </c>
    </row>
    <row r="351" ht="15.75" customHeight="1">
      <c r="A351" s="6" t="s">
        <v>1178</v>
      </c>
      <c r="B351" s="6" t="s">
        <v>279</v>
      </c>
      <c r="C351" s="6"/>
      <c r="D351" s="1" t="str">
        <f>+VLOOKUP(B351,'Maestro Personas'!$B$7:$C$105,2,0)</f>
        <v>8.510.437-3</v>
      </c>
      <c r="E351" s="1" t="str">
        <f>+VLOOKUP(B351,'Maestro Personas'!$B$7:$W$105,22,0)</f>
        <v>Pablo</v>
      </c>
      <c r="F351" s="1" t="str">
        <f>+VLOOKUP(B351,'Maestro Personas'!$B$7:$G$105,6,0)</f>
        <v>Consultor/a Senior - Comunicaciones</v>
      </c>
    </row>
    <row r="352" ht="15.75" customHeight="1">
      <c r="A352" s="6" t="s">
        <v>1178</v>
      </c>
      <c r="B352" s="6" t="s">
        <v>61</v>
      </c>
      <c r="C352" s="6"/>
      <c r="D352" s="1" t="str">
        <f>+VLOOKUP(B352,'Maestro Personas'!$B$7:$C$105,2,0)</f>
        <v>12.454.685-0</v>
      </c>
      <c r="E352" s="1" t="str">
        <f>+VLOOKUP(B352,'Maestro Personas'!$B$7:$W$105,22,0)</f>
        <v>Vic</v>
      </c>
      <c r="F352" s="1" t="str">
        <f>+VLOOKUP(B352,'Maestro Personas'!$B$7:$G$105,6,0)</f>
        <v>Socio Director</v>
      </c>
    </row>
    <row r="353" ht="15.75" customHeight="1">
      <c r="A353" s="6" t="s">
        <v>1178</v>
      </c>
      <c r="B353" s="6" t="s">
        <v>164</v>
      </c>
      <c r="C353" s="6"/>
      <c r="D353" s="1" t="str">
        <f>+VLOOKUP(B353,'Maestro Personas'!$B$7:$C$105,2,0)</f>
        <v>15.722.742-4</v>
      </c>
      <c r="E353" s="1" t="str">
        <f>+VLOOKUP(B353,'Maestro Personas'!$B$7:$W$105,22,0)</f>
        <v>Robert</v>
      </c>
      <c r="F353" s="1" t="str">
        <f>+VLOOKUP(B353,'Maestro Personas'!$B$7:$G$105,6,0)</f>
        <v>Director/a - AAPP</v>
      </c>
    </row>
    <row r="354" ht="15.75" customHeight="1">
      <c r="A354" s="6" t="s">
        <v>1178</v>
      </c>
      <c r="B354" s="6" t="s">
        <v>140</v>
      </c>
      <c r="C354" s="6"/>
      <c r="D354" s="1" t="str">
        <f>+VLOOKUP(B354,'Maestro Personas'!$B$7:$C$105,2,0)</f>
        <v>20.075.693-2</v>
      </c>
      <c r="E354" s="1" t="str">
        <f>+VLOOKUP(B354,'Maestro Personas'!$B$7:$W$105,22,0)</f>
        <v>Felipe</v>
      </c>
      <c r="F354" s="1" t="str">
        <f>+VLOOKUP(B354,'Maestro Personas'!$B$7:$G$105,6,0)</f>
        <v>Ejecutivo/a de Cuentas - Digital</v>
      </c>
    </row>
    <row r="355" ht="15.75" customHeight="1">
      <c r="A355" s="6" t="s">
        <v>1178</v>
      </c>
      <c r="B355" s="6" t="s">
        <v>66</v>
      </c>
      <c r="C355" s="6"/>
      <c r="D355" s="1" t="str">
        <f>+VLOOKUP(B355,'Maestro Personas'!$B$7:$C$105,2,0)</f>
        <v>10.818.275-k</v>
      </c>
      <c r="E355" s="1" t="str">
        <f>+VLOOKUP(B355,'Maestro Personas'!$B$7:$W$105,22,0)</f>
        <v>Felipe</v>
      </c>
      <c r="F355" s="1" t="str">
        <f>+VLOOKUP(B355,'Maestro Personas'!$B$7:$G$105,6,0)</f>
        <v>Socio</v>
      </c>
    </row>
    <row r="356" ht="15.75" customHeight="1">
      <c r="A356" s="6" t="s">
        <v>1178</v>
      </c>
      <c r="B356" s="6" t="s">
        <v>213</v>
      </c>
      <c r="C356" s="6"/>
      <c r="D356" s="1" t="str">
        <f>+VLOOKUP(B356,'Maestro Personas'!$B$7:$C$105,2,0)</f>
        <v>19.963.668-5</v>
      </c>
      <c r="E356" s="1" t="str">
        <f>+VLOOKUP(B356,'Maestro Personas'!$B$7:$W$105,22,0)</f>
        <v>Trini</v>
      </c>
      <c r="F356" s="1" t="str">
        <f>+VLOOKUP(B356,'Maestro Personas'!$B$7:$G$105,6,0)</f>
        <v>Ejecutivo/a - Comunicaciones</v>
      </c>
    </row>
    <row r="357" ht="15.75" customHeight="1">
      <c r="A357" s="6" t="s">
        <v>1178</v>
      </c>
      <c r="B357" s="6" t="s">
        <v>59</v>
      </c>
      <c r="C357" s="6"/>
      <c r="D357" s="1" t="str">
        <f>+VLOOKUP(B357,'Maestro Personas'!$B$7:$C$105,2,0)</f>
        <v>8.929.175-5</v>
      </c>
      <c r="E357" s="1" t="str">
        <f>+VLOOKUP(B357,'Maestro Personas'!$B$7:$W$105,22,0)</f>
        <v/>
      </c>
      <c r="F357" s="1" t="str">
        <f>+VLOOKUP(B357,'Maestro Personas'!$B$7:$G$105,6,0)</f>
        <v>Socio Director</v>
      </c>
    </row>
    <row r="358" ht="15.75" customHeight="1">
      <c r="A358" s="6" t="s">
        <v>1178</v>
      </c>
      <c r="B358" s="6" t="s">
        <v>42</v>
      </c>
      <c r="C358" s="6"/>
      <c r="D358" s="1" t="str">
        <f>+VLOOKUP(B358,'Maestro Personas'!$B$7:$C$105,2,0)</f>
        <v>19.939.876-8</v>
      </c>
      <c r="E358" s="1" t="str">
        <f>+VLOOKUP(B358,'Maestro Personas'!$B$7:$W$105,22,0)</f>
        <v>Caro</v>
      </c>
      <c r="F358" s="1" t="str">
        <f>+VLOOKUP(B358,'Maestro Personas'!$B$7:$G$105,6,0)</f>
        <v>Ejecutivo/a - AAPP</v>
      </c>
    </row>
    <row r="359" ht="15.75" customHeight="1">
      <c r="A359" s="6" t="s">
        <v>1179</v>
      </c>
      <c r="B359" s="6" t="s">
        <v>59</v>
      </c>
      <c r="C359" s="6"/>
      <c r="D359" s="1" t="str">
        <f>+VLOOKUP(B359,'Maestro Personas'!$B$7:$C$105,2,0)</f>
        <v>8.929.175-5</v>
      </c>
      <c r="E359" s="1" t="str">
        <f>+VLOOKUP(B359,'Maestro Personas'!$B$7:$W$105,22,0)</f>
        <v/>
      </c>
      <c r="F359" s="1" t="str">
        <f>+VLOOKUP(B359,'Maestro Personas'!$B$7:$G$105,6,0)</f>
        <v>Socio Director</v>
      </c>
    </row>
    <row r="360" ht="15.75" customHeight="1">
      <c r="A360" s="6" t="s">
        <v>1179</v>
      </c>
      <c r="B360" s="6" t="s">
        <v>83</v>
      </c>
      <c r="C360" s="6"/>
      <c r="D360" s="1" t="str">
        <f>+VLOOKUP(B360,'Maestro Personas'!$B$7:$C$105,2,0)</f>
        <v>14.045.482-6</v>
      </c>
      <c r="E360" s="1" t="str">
        <f>+VLOOKUP(B360,'Maestro Personas'!$B$7:$W$105,22,0)</f>
        <v>Ian</v>
      </c>
      <c r="F360" s="1" t="str">
        <f>+VLOOKUP(B360,'Maestro Personas'!$B$7:$G$105,6,0)</f>
        <v>Socio Director</v>
      </c>
    </row>
    <row r="361" ht="15.75" customHeight="1">
      <c r="A361" s="6" t="s">
        <v>1179</v>
      </c>
      <c r="B361" s="6" t="s">
        <v>42</v>
      </c>
      <c r="C361" s="6"/>
      <c r="D361" s="1" t="str">
        <f>+VLOOKUP(B361,'Maestro Personas'!$B$7:$C$105,2,0)</f>
        <v>19.939.876-8</v>
      </c>
      <c r="E361" s="1" t="str">
        <f>+VLOOKUP(B361,'Maestro Personas'!$B$7:$W$105,22,0)</f>
        <v>Caro</v>
      </c>
      <c r="F361" s="1" t="str">
        <f>+VLOOKUP(B361,'Maestro Personas'!$B$7:$G$105,6,0)</f>
        <v>Ejecutivo/a - AAPP</v>
      </c>
    </row>
    <row r="362" ht="15.75" customHeight="1">
      <c r="A362" s="6" t="s">
        <v>1180</v>
      </c>
      <c r="B362" s="6" t="s">
        <v>203</v>
      </c>
      <c r="C362" s="6"/>
      <c r="D362" s="1" t="str">
        <f>+VLOOKUP(B362,'Maestro Personas'!$B$7:$C$105,2,0)</f>
        <v>8.344.585-8</v>
      </c>
      <c r="E362" s="1" t="str">
        <f>+VLOOKUP(B362,'Maestro Personas'!$B$7:$W$105,22,0)</f>
        <v>Bego</v>
      </c>
      <c r="F362" s="1" t="str">
        <f>+VLOOKUP(B362,'Maestro Personas'!$B$7:$G$105,6,0)</f>
        <v>Socio Director</v>
      </c>
    </row>
    <row r="363" ht="15.75" customHeight="1">
      <c r="A363" s="6" t="s">
        <v>1180</v>
      </c>
      <c r="B363" s="6" t="s">
        <v>61</v>
      </c>
      <c r="C363" s="6"/>
      <c r="D363" s="1" t="str">
        <f>+VLOOKUP(B363,'Maestro Personas'!$B$7:$C$105,2,0)</f>
        <v>12.454.685-0</v>
      </c>
      <c r="E363" s="1" t="str">
        <f>+VLOOKUP(B363,'Maestro Personas'!$B$7:$W$105,22,0)</f>
        <v>Vic</v>
      </c>
      <c r="F363" s="1" t="str">
        <f>+VLOOKUP(B363,'Maestro Personas'!$B$7:$G$105,6,0)</f>
        <v>Socio Director</v>
      </c>
    </row>
    <row r="364" ht="15.75" customHeight="1">
      <c r="A364" s="6" t="s">
        <v>1180</v>
      </c>
      <c r="B364" s="6" t="s">
        <v>188</v>
      </c>
      <c r="C364" s="6"/>
      <c r="D364" s="1" t="str">
        <f>+VLOOKUP(B364,'Maestro Personas'!$B$7:$C$105,2,0)</f>
        <v>15.332.168-k</v>
      </c>
      <c r="E364" s="1" t="str">
        <f>+VLOOKUP(B364,'Maestro Personas'!$B$7:$W$105,22,0)</f>
        <v/>
      </c>
      <c r="F364" s="1" t="str">
        <f>+VLOOKUP(B364,'Maestro Personas'!$B$7:$G$105,6,0)</f>
        <v>Consultor/a Senior - Comunicaciones</v>
      </c>
    </row>
    <row r="365" ht="15.75" customHeight="1">
      <c r="A365" s="6" t="s">
        <v>1180</v>
      </c>
      <c r="B365" s="6" t="s">
        <v>299</v>
      </c>
      <c r="C365" s="6"/>
      <c r="D365" s="1" t="str">
        <f>+VLOOKUP(B365,'Maestro Personas'!$B$7:$C$105,2,0)</f>
        <v>17.108.779-1</v>
      </c>
      <c r="E365" s="1" t="str">
        <f>+VLOOKUP(B365,'Maestro Personas'!$B$7:$W$105,22,0)</f>
        <v>Anita</v>
      </c>
      <c r="F365" s="1" t="str">
        <f>+VLOOKUP(B365,'Maestro Personas'!$B$7:$G$105,6,0)</f>
        <v>Ejecutivo/a - Comunicaciones</v>
      </c>
    </row>
    <row r="366" ht="15.75" customHeight="1">
      <c r="A366" s="6" t="s">
        <v>1180</v>
      </c>
      <c r="B366" s="6" t="s">
        <v>225</v>
      </c>
      <c r="C366" s="6"/>
      <c r="D366" s="1" t="str">
        <f>+VLOOKUP(B366,'Maestro Personas'!$B$7:$C$105,2,0)</f>
        <v>20.783.188-3</v>
      </c>
      <c r="E366" s="1" t="str">
        <f>+VLOOKUP(B366,'Maestro Personas'!$B$7:$W$105,22,0)</f>
        <v>Belén</v>
      </c>
      <c r="F366" s="1" t="str">
        <f>+VLOOKUP(B366,'Maestro Personas'!$B$7:$G$105,6,0)</f>
        <v>Ejecutivo/a - Comunicaciones</v>
      </c>
    </row>
    <row r="367" ht="15.75" customHeight="1">
      <c r="A367" s="6" t="s">
        <v>1180</v>
      </c>
      <c r="B367" s="6" t="s">
        <v>241</v>
      </c>
      <c r="C367" s="6"/>
      <c r="D367" s="1" t="str">
        <f>+VLOOKUP(B367,'Maestro Personas'!$B$7:$C$105,2,0)</f>
        <v>21.412.373-8</v>
      </c>
      <c r="E367" s="1" t="str">
        <f>+VLOOKUP(B367,'Maestro Personas'!$B$7:$W$105,22,0)</f>
        <v>Fran</v>
      </c>
      <c r="F367" s="1" t="str">
        <f>+VLOOKUP(B367,'Maestro Personas'!$B$7:$G$105,6,0)</f>
        <v>Trainee</v>
      </c>
    </row>
    <row r="368" ht="15.75" customHeight="1">
      <c r="A368" s="6" t="s">
        <v>1181</v>
      </c>
      <c r="B368" s="6" t="s">
        <v>160</v>
      </c>
      <c r="C368" s="6"/>
      <c r="D368" s="1" t="str">
        <f>+VLOOKUP(B368,'Maestro Personas'!$B$7:$C$105,2,0)</f>
        <v>17.407.755-k</v>
      </c>
      <c r="E368" s="1" t="str">
        <f>+VLOOKUP(B368,'Maestro Personas'!$B$7:$W$105,22,0)</f>
        <v>Stefano</v>
      </c>
      <c r="F368" s="1" t="str">
        <f>+VLOOKUP(B368,'Maestro Personas'!$B$7:$G$105,6,0)</f>
        <v>Consultor/a Senior - AAPP</v>
      </c>
    </row>
    <row r="369" ht="15.75" customHeight="1">
      <c r="A369" s="6" t="s">
        <v>1181</v>
      </c>
      <c r="B369" s="6" t="s">
        <v>40</v>
      </c>
      <c r="C369" s="6"/>
      <c r="D369" s="1" t="str">
        <f>+VLOOKUP(B369,'Maestro Personas'!$B$7:$C$105,2,0)</f>
        <v>9.766.376-9</v>
      </c>
      <c r="E369" s="1" t="str">
        <f>+VLOOKUP(B369,'Maestro Personas'!$B$7:$W$105,22,0)</f>
        <v>Cristina</v>
      </c>
      <c r="F369" s="1" t="str">
        <f>+VLOOKUP(B369,'Maestro Personas'!$B$7:$G$105,6,0)</f>
        <v>Socio</v>
      </c>
    </row>
    <row r="370" ht="15.75" customHeight="1">
      <c r="A370" s="6" t="s">
        <v>1181</v>
      </c>
      <c r="B370" s="6" t="s">
        <v>144</v>
      </c>
      <c r="C370" s="6"/>
      <c r="D370" s="1" t="str">
        <f>+VLOOKUP(B370,'Maestro Personas'!$B$7:$C$105,2,0)</f>
        <v>15.341.075-5</v>
      </c>
      <c r="E370" s="1" t="str">
        <f>+VLOOKUP(B370,'Maestro Personas'!$B$7:$W$105,22,0)</f>
        <v>Lisette</v>
      </c>
      <c r="F370" s="1" t="str">
        <f>+VLOOKUP(B370,'Maestro Personas'!$B$7:$G$105,6,0)</f>
        <v>Socio Director</v>
      </c>
    </row>
    <row r="371" ht="15.75" customHeight="1">
      <c r="A371" s="6" t="s">
        <v>1181</v>
      </c>
      <c r="B371" s="6" t="s">
        <v>219</v>
      </c>
      <c r="C371" s="6"/>
      <c r="D371" s="1" t="str">
        <f>+VLOOKUP(B371,'Maestro Personas'!$B$7:$C$105,2,0)</f>
        <v>15.370.192-k</v>
      </c>
      <c r="E371" s="1" t="str">
        <f>+VLOOKUP(B371,'Maestro Personas'!$B$7:$W$105,22,0)</f>
        <v/>
      </c>
      <c r="F371" s="1" t="str">
        <f>+VLOOKUP(B371,'Maestro Personas'!$B$7:$G$105,6,0)</f>
        <v>Director/a - Comunicaciones</v>
      </c>
    </row>
    <row r="372" ht="15.75" customHeight="1">
      <c r="A372" s="6" t="s">
        <v>1182</v>
      </c>
      <c r="B372" s="6" t="s">
        <v>40</v>
      </c>
      <c r="C372" s="6"/>
      <c r="D372" s="1" t="str">
        <f>+VLOOKUP(B372,'Maestro Personas'!$B$7:$C$105,2,0)</f>
        <v>9.766.376-9</v>
      </c>
      <c r="E372" s="1" t="str">
        <f>+VLOOKUP(B372,'Maestro Personas'!$B$7:$W$105,22,0)</f>
        <v>Cristina</v>
      </c>
      <c r="F372" s="1" t="str">
        <f>+VLOOKUP(B372,'Maestro Personas'!$B$7:$G$105,6,0)</f>
        <v>Socio</v>
      </c>
    </row>
    <row r="373" ht="15.75" customHeight="1">
      <c r="A373" s="6" t="s">
        <v>1182</v>
      </c>
      <c r="B373" s="6" t="s">
        <v>294</v>
      </c>
      <c r="C373" s="6"/>
      <c r="D373" s="1" t="str">
        <f>+VLOOKUP(B373,'Maestro Personas'!$B$7:$C$105,2,0)</f>
        <v>10.059.648-2</v>
      </c>
      <c r="E373" s="1" t="str">
        <f>+VLOOKUP(B373,'Maestro Personas'!$B$7:$W$105,22,0)</f>
        <v/>
      </c>
      <c r="F373" s="1" t="str">
        <f>+VLOOKUP(B373,'Maestro Personas'!$B$7:$G$105,6,0)</f>
        <v>Consultor/a Senior - AAPP</v>
      </c>
    </row>
    <row r="374" ht="15.75" customHeight="1">
      <c r="A374" s="6" t="s">
        <v>1182</v>
      </c>
      <c r="B374" s="6" t="s">
        <v>66</v>
      </c>
      <c r="C374" s="6"/>
      <c r="D374" s="1" t="str">
        <f>+VLOOKUP(B374,'Maestro Personas'!$B$7:$C$105,2,0)</f>
        <v>10.818.275-k</v>
      </c>
      <c r="E374" s="1" t="str">
        <f>+VLOOKUP(B374,'Maestro Personas'!$B$7:$W$105,22,0)</f>
        <v>Felipe</v>
      </c>
      <c r="F374" s="1" t="str">
        <f>+VLOOKUP(B374,'Maestro Personas'!$B$7:$G$105,6,0)</f>
        <v>Socio</v>
      </c>
    </row>
    <row r="375" ht="15.75" customHeight="1">
      <c r="A375" s="6" t="s">
        <v>1182</v>
      </c>
      <c r="B375" s="6" t="s">
        <v>59</v>
      </c>
      <c r="C375" s="6"/>
      <c r="D375" s="1" t="str">
        <f>+VLOOKUP(B375,'Maestro Personas'!$B$7:$C$105,2,0)</f>
        <v>8.929.175-5</v>
      </c>
      <c r="E375" s="1" t="str">
        <f>+VLOOKUP(B375,'Maestro Personas'!$B$7:$W$105,22,0)</f>
        <v/>
      </c>
      <c r="F375" s="1" t="str">
        <f>+VLOOKUP(B375,'Maestro Personas'!$B$7:$G$105,6,0)</f>
        <v>Socio Director</v>
      </c>
    </row>
    <row r="376" ht="15.75" customHeight="1">
      <c r="A376" s="6" t="s">
        <v>1182</v>
      </c>
      <c r="B376" s="6" t="s">
        <v>299</v>
      </c>
      <c r="C376" s="6"/>
      <c r="D376" s="1" t="str">
        <f>+VLOOKUP(B376,'Maestro Personas'!$B$7:$C$105,2,0)</f>
        <v>17.108.779-1</v>
      </c>
      <c r="E376" s="1" t="str">
        <f>+VLOOKUP(B376,'Maestro Personas'!$B$7:$W$105,22,0)</f>
        <v>Anita</v>
      </c>
      <c r="F376" s="1" t="str">
        <f>+VLOOKUP(B376,'Maestro Personas'!$B$7:$G$105,6,0)</f>
        <v>Ejecutivo/a - Comunicaciones</v>
      </c>
    </row>
    <row r="377" ht="15.75" customHeight="1">
      <c r="A377" s="6" t="s">
        <v>1182</v>
      </c>
      <c r="B377" s="6" t="s">
        <v>416</v>
      </c>
      <c r="C377" s="6"/>
      <c r="D377" s="1" t="str">
        <f>+VLOOKUP(B377,'Maestro Personas'!$B$7:$C$105,2,0)</f>
        <v>15.318.696-0</v>
      </c>
      <c r="E377" s="1" t="str">
        <f>+VLOOKUP(B377,'Maestro Personas'!$B$7:$W$105,22,0)</f>
        <v>Pau</v>
      </c>
      <c r="F377" s="1" t="str">
        <f>+VLOOKUP(B377,'Maestro Personas'!$B$7:$G$105,6,0)</f>
        <v>Director/a Senior - Comunicaciones</v>
      </c>
    </row>
    <row r="378" ht="15.75" customHeight="1">
      <c r="A378" s="6" t="s">
        <v>1182</v>
      </c>
      <c r="B378" s="6" t="s">
        <v>122</v>
      </c>
      <c r="C378" s="6"/>
      <c r="D378" s="1" t="str">
        <f>+VLOOKUP(B378,'Maestro Personas'!$B$7:$C$105,2,0)</f>
        <v>26.965.314-0</v>
      </c>
      <c r="E378" s="1" t="str">
        <f>+VLOOKUP(B378,'Maestro Personas'!$B$7:$W$105,22,0)</f>
        <v>Reimar, Rei</v>
      </c>
      <c r="F378" s="1" t="str">
        <f>+VLOOKUP(B378,'Maestro Personas'!$B$7:$G$105,6,0)</f>
        <v>Ejecutivo/a de Cuentas - Digital</v>
      </c>
    </row>
    <row r="379" ht="15.75" customHeight="1">
      <c r="A379" s="6" t="s">
        <v>1182</v>
      </c>
      <c r="B379" s="6" t="s">
        <v>245</v>
      </c>
      <c r="C379" s="6"/>
      <c r="D379" s="1" t="str">
        <f>+VLOOKUP(B379,'Maestro Personas'!$B$7:$C$105,2,0)</f>
        <v>17.353.392-6</v>
      </c>
      <c r="E379" s="1" t="str">
        <f>+VLOOKUP(B379,'Maestro Personas'!$B$7:$W$105,22,0)</f>
        <v>Taqui</v>
      </c>
      <c r="F379" s="1" t="str">
        <f>+VLOOKUP(B379,'Maestro Personas'!$B$7:$G$105,6,0)</f>
        <v>Consultor/a Senior - Comunicaciones</v>
      </c>
    </row>
    <row r="380" ht="15.75" customHeight="1">
      <c r="A380" s="6" t="s">
        <v>1183</v>
      </c>
      <c r="B380" s="6" t="s">
        <v>93</v>
      </c>
      <c r="C380" s="6"/>
      <c r="D380" s="1" t="str">
        <f>+VLOOKUP(B380,'Maestro Personas'!$B$7:$C$105,2,0)</f>
        <v>13.529.165-k</v>
      </c>
      <c r="E380" s="1" t="str">
        <f>+VLOOKUP(B380,'Maestro Personas'!$B$7:$W$105,22,0)</f>
        <v>Juan Andrés</v>
      </c>
      <c r="F380" s="1" t="str">
        <f>+VLOOKUP(B380,'Maestro Personas'!$B$7:$G$105,6,0)</f>
        <v>Director/a - AAPP</v>
      </c>
    </row>
    <row r="381" ht="15.75" customHeight="1">
      <c r="A381" s="6" t="s">
        <v>1183</v>
      </c>
      <c r="B381" s="6" t="s">
        <v>73</v>
      </c>
      <c r="C381" s="6"/>
      <c r="D381" s="1" t="str">
        <f>+VLOOKUP(B381,'Maestro Personas'!$B$7:$C$105,2,0)</f>
        <v>16.282.327-2</v>
      </c>
      <c r="E381" s="1" t="str">
        <f>+VLOOKUP(B381,'Maestro Personas'!$B$7:$W$105,22,0)</f>
        <v>Jose, JM</v>
      </c>
      <c r="F381" s="1" t="str">
        <f>+VLOOKUP(B381,'Maestro Personas'!$B$7:$G$105,6,0)</f>
        <v>Socio Área Digital</v>
      </c>
    </row>
    <row r="382" ht="15.75" customHeight="1">
      <c r="A382" s="6" t="s">
        <v>1183</v>
      </c>
      <c r="B382" s="6" t="s">
        <v>183</v>
      </c>
      <c r="C382" s="6"/>
      <c r="D382" s="1" t="str">
        <f>+VLOOKUP(B382,'Maestro Personas'!$B$7:$C$105,2,0)</f>
        <v>26.054.812-3</v>
      </c>
      <c r="E382" s="1" t="str">
        <f>+VLOOKUP(B382,'Maestro Personas'!$B$7:$W$105,22,0)</f>
        <v>Martín</v>
      </c>
      <c r="F382" s="1" t="str">
        <f>+VLOOKUP(B382,'Maestro Personas'!$B$7:$G$105,6,0)</f>
        <v>Director Senior- Digital</v>
      </c>
    </row>
    <row r="383" ht="15.75" customHeight="1">
      <c r="A383" s="6" t="s">
        <v>1183</v>
      </c>
      <c r="B383" s="6" t="s">
        <v>61</v>
      </c>
      <c r="C383" s="6"/>
      <c r="D383" s="1" t="str">
        <f>+VLOOKUP(B383,'Maestro Personas'!$B$7:$C$105,2,0)</f>
        <v>12.454.685-0</v>
      </c>
      <c r="E383" s="1" t="str">
        <f>+VLOOKUP(B383,'Maestro Personas'!$B$7:$W$105,22,0)</f>
        <v>Vic</v>
      </c>
      <c r="F383" s="1" t="str">
        <f>+VLOOKUP(B383,'Maestro Personas'!$B$7:$G$105,6,0)</f>
        <v>Socio Director</v>
      </c>
    </row>
    <row r="384" ht="15.75" customHeight="1">
      <c r="A384" s="6" t="s">
        <v>1183</v>
      </c>
      <c r="B384" s="6" t="s">
        <v>409</v>
      </c>
      <c r="C384" s="6"/>
      <c r="D384" s="1" t="str">
        <f>+VLOOKUP(B384,'Maestro Personas'!$B$7:$C$105,2,0)</f>
        <v>28.759.573-5</v>
      </c>
      <c r="E384" s="1" t="str">
        <f>+VLOOKUP(B384,'Maestro Personas'!$B$7:$W$105,22,0)</f>
        <v>Irene</v>
      </c>
      <c r="F384" s="1" t="str">
        <f>+VLOOKUP(B384,'Maestro Personas'!$B$7:$G$105,6,0)</f>
        <v>Consultor/a Senior - Comunicaciones</v>
      </c>
    </row>
    <row r="385" ht="15.75" customHeight="1">
      <c r="A385" s="6" t="s">
        <v>1183</v>
      </c>
      <c r="B385" s="6" t="s">
        <v>338</v>
      </c>
      <c r="C385" s="6"/>
      <c r="D385" s="1" t="str">
        <f>+VLOOKUP(B385,'Maestro Personas'!$B$7:$C$105,2,0)</f>
        <v>13.253.184-6</v>
      </c>
      <c r="E385" s="1" t="str">
        <f>+VLOOKUP(B385,'Maestro Personas'!$B$7:$W$105,22,0)</f>
        <v/>
      </c>
      <c r="F385" s="1" t="str">
        <f>+VLOOKUP(B385,'Maestro Personas'!$B$7:$G$105,6,0)</f>
        <v>Director de Área de Estudios Sociales y Políticos</v>
      </c>
    </row>
    <row r="386" ht="15.75" customHeight="1">
      <c r="A386" s="6" t="s">
        <v>1183</v>
      </c>
      <c r="B386" s="6" t="s">
        <v>213</v>
      </c>
      <c r="C386" s="6"/>
      <c r="D386" s="1" t="str">
        <f>+VLOOKUP(B386,'Maestro Personas'!$B$7:$C$105,2,0)</f>
        <v>19.963.668-5</v>
      </c>
      <c r="E386" s="1" t="str">
        <f>+VLOOKUP(B386,'Maestro Personas'!$B$7:$W$105,22,0)</f>
        <v>Trini</v>
      </c>
      <c r="F386" s="1" t="str">
        <f>+VLOOKUP(B386,'Maestro Personas'!$B$7:$G$105,6,0)</f>
        <v>Ejecutivo/a - Comunicaciones</v>
      </c>
    </row>
    <row r="387" ht="15.75" customHeight="1">
      <c r="A387" s="6" t="s">
        <v>1183</v>
      </c>
      <c r="B387" s="6" t="s">
        <v>195</v>
      </c>
      <c r="C387" s="6"/>
      <c r="D387" s="1" t="str">
        <f>+VLOOKUP(B387,'Maestro Personas'!$B$7:$C$105,2,0)</f>
        <v>17.029.247-2</v>
      </c>
      <c r="E387" s="1" t="str">
        <f>+VLOOKUP(B387,'Maestro Personas'!$B$7:$W$105,22,0)</f>
        <v>Felipe</v>
      </c>
      <c r="F387" s="1" t="str">
        <f>+VLOOKUP(B387,'Maestro Personas'!$B$7:$G$105,6,0)</f>
        <v>Consultores - Digital</v>
      </c>
    </row>
    <row r="388" ht="15.75" customHeight="1">
      <c r="A388" s="6" t="s">
        <v>1183</v>
      </c>
      <c r="B388" s="6" t="s">
        <v>83</v>
      </c>
      <c r="C388" s="6"/>
      <c r="D388" s="1" t="str">
        <f>+VLOOKUP(B388,'Maestro Personas'!$B$7:$C$105,2,0)</f>
        <v>14.045.482-6</v>
      </c>
      <c r="E388" s="1" t="str">
        <f>+VLOOKUP(B388,'Maestro Personas'!$B$7:$W$105,22,0)</f>
        <v>Ian</v>
      </c>
      <c r="F388" s="1" t="str">
        <f>+VLOOKUP(B388,'Maestro Personas'!$B$7:$G$105,6,0)</f>
        <v>Socio Director</v>
      </c>
    </row>
    <row r="389" ht="15.75" customHeight="1">
      <c r="A389" s="6" t="s">
        <v>1183</v>
      </c>
      <c r="B389" s="6" t="s">
        <v>419</v>
      </c>
      <c r="C389" s="6"/>
      <c r="D389" s="1" t="str">
        <f>+VLOOKUP(B389,'Maestro Personas'!$B$7:$C$105,2,0)</f>
        <v>18.537.942-6</v>
      </c>
      <c r="E389" s="1" t="str">
        <f>+VLOOKUP(B389,'Maestro Personas'!$B$7:$W$105,22,0)</f>
        <v>Naty</v>
      </c>
      <c r="F389" s="1" t="str">
        <f>+VLOOKUP(B389,'Maestro Personas'!$B$7:$G$105,6,0)</f>
        <v>Consultores Senior - Digital</v>
      </c>
    </row>
    <row r="390" ht="15.75" customHeight="1">
      <c r="A390" s="6" t="s">
        <v>1183</v>
      </c>
      <c r="B390" s="6" t="s">
        <v>168</v>
      </c>
      <c r="C390" s="6"/>
      <c r="D390" s="1" t="str">
        <f>+VLOOKUP(B390,'Maestro Personas'!$B$7:$C$105,2,0)</f>
        <v>17.248.821-8</v>
      </c>
      <c r="E390" s="1" t="str">
        <f>+VLOOKUP(B390,'Maestro Personas'!$B$7:$W$105,22,0)</f>
        <v>Paz</v>
      </c>
      <c r="F390" s="1" t="str">
        <f>+VLOOKUP(B390,'Maestro Personas'!$B$7:$G$105,6,0)</f>
        <v>Ejecutivo/a de Cuentas - Digital</v>
      </c>
    </row>
    <row r="391" ht="15.75" customHeight="1">
      <c r="A391" s="6" t="s">
        <v>1183</v>
      </c>
      <c r="B391" s="6" t="s">
        <v>171</v>
      </c>
      <c r="C391" s="6"/>
      <c r="D391" s="1" t="str">
        <f>+VLOOKUP(B391,'Maestro Personas'!$B$7:$C$105,2,0)</f>
        <v>18.956.291-8</v>
      </c>
      <c r="E391" s="1" t="str">
        <f>+VLOOKUP(B391,'Maestro Personas'!$B$7:$W$105,22,0)</f>
        <v>Javi</v>
      </c>
      <c r="F391" s="1" t="str">
        <f>+VLOOKUP(B391,'Maestro Personas'!$B$7:$G$105,6,0)</f>
        <v>Ejecutivo/a de Cuentas - Digital</v>
      </c>
    </row>
    <row r="392" ht="15.75" customHeight="1">
      <c r="A392" s="6" t="s">
        <v>1183</v>
      </c>
      <c r="B392" s="6" t="s">
        <v>309</v>
      </c>
      <c r="C392" s="6"/>
      <c r="D392" s="1" t="str">
        <f>+VLOOKUP(B392,'Maestro Personas'!$B$7:$C$105,2,0)</f>
        <v>15.720.094-1</v>
      </c>
      <c r="E392" s="1" t="str">
        <f>+VLOOKUP(B392,'Maestro Personas'!$B$7:$W$105,22,0)</f>
        <v>Marco</v>
      </c>
      <c r="F392" s="1" t="str">
        <f>+VLOOKUP(B392,'Maestro Personas'!$B$7:$G$105,6,0)</f>
        <v>Director - Digital</v>
      </c>
    </row>
    <row r="393" ht="15.75" customHeight="1">
      <c r="A393" s="6" t="s">
        <v>1183</v>
      </c>
      <c r="B393" s="6" t="s">
        <v>122</v>
      </c>
      <c r="C393" s="6"/>
      <c r="D393" s="1" t="str">
        <f>+VLOOKUP(B393,'Maestro Personas'!$B$7:$C$105,2,0)</f>
        <v>26.965.314-0</v>
      </c>
      <c r="E393" s="1" t="str">
        <f>+VLOOKUP(B393,'Maestro Personas'!$B$7:$W$105,22,0)</f>
        <v>Reimar, Rei</v>
      </c>
      <c r="F393" s="1" t="str">
        <f>+VLOOKUP(B393,'Maestro Personas'!$B$7:$G$105,6,0)</f>
        <v>Ejecutivo/a de Cuentas - Digital</v>
      </c>
    </row>
    <row r="394" ht="15.75" customHeight="1">
      <c r="A394" s="6" t="s">
        <v>1183</v>
      </c>
      <c r="B394" s="6" t="s">
        <v>256</v>
      </c>
      <c r="C394" s="6"/>
      <c r="D394" s="1" t="str">
        <f>+VLOOKUP(B394,'Maestro Personas'!$B$7:$C$105,2,0)</f>
        <v>20.165.428-9</v>
      </c>
      <c r="E394" s="1" t="str">
        <f>+VLOOKUP(B394,'Maestro Personas'!$B$7:$W$105,22,0)</f>
        <v>Jo</v>
      </c>
      <c r="F394" s="1" t="str">
        <f>+VLOOKUP(B394,'Maestro Personas'!$B$7:$G$105,6,0)</f>
        <v>Ejecutivo/a - Comunicaciones</v>
      </c>
    </row>
    <row r="395" ht="15.75" customHeight="1">
      <c r="A395" s="6" t="s">
        <v>1183</v>
      </c>
      <c r="B395" s="6" t="s">
        <v>261</v>
      </c>
      <c r="C395" s="6"/>
      <c r="D395" s="1" t="str">
        <f>+VLOOKUP(B395,'Maestro Personas'!$B$7:$C$105,2,0)</f>
        <v>12.659.237-k</v>
      </c>
      <c r="E395" s="1" t="str">
        <f>+VLOOKUP(B395,'Maestro Personas'!$B$7:$W$105,22,0)</f>
        <v/>
      </c>
      <c r="F395" s="1" t="str">
        <f>+VLOOKUP(B395,'Maestro Personas'!$B$7:$G$105,6,0)</f>
        <v>Director/a Senior - Comunicaciones</v>
      </c>
    </row>
    <row r="396" ht="15.75" customHeight="1">
      <c r="A396" s="6" t="s">
        <v>1183</v>
      </c>
      <c r="B396" s="6" t="s">
        <v>358</v>
      </c>
      <c r="C396" s="6"/>
      <c r="D396" s="1" t="str">
        <f>+VLOOKUP(B396,'Maestro Personas'!$B$7:$C$105,2,0)</f>
        <v>15.438.937-7</v>
      </c>
      <c r="E396" s="1" t="str">
        <f>+VLOOKUP(B396,'Maestro Personas'!$B$7:$W$105,22,0)</f>
        <v>Juvenal</v>
      </c>
      <c r="F396" s="1" t="str">
        <f>+VLOOKUP(B396,'Maestro Personas'!$B$7:$G$105,6,0)</f>
        <v>Consultores Senior - Digital</v>
      </c>
    </row>
    <row r="397" ht="15.75" customHeight="1">
      <c r="A397" s="6" t="s">
        <v>1183</v>
      </c>
      <c r="B397" s="6" t="s">
        <v>440</v>
      </c>
      <c r="C397" s="6"/>
      <c r="D397" s="1" t="str">
        <f>+VLOOKUP(B397,'Maestro Personas'!$B$7:$C$105,2,0)</f>
        <v>19.078.174-7</v>
      </c>
      <c r="E397" s="1" t="str">
        <f>+VLOOKUP(B397,'Maestro Personas'!$B$7:$W$105,22,0)</f>
        <v>Yael</v>
      </c>
      <c r="F397" s="1" t="str">
        <f>+VLOOKUP(B397,'Maestro Personas'!$B$7:$G$105,6,0)</f>
        <v>Consultor/a - Comunicaciones</v>
      </c>
    </row>
    <row r="398" ht="15.75" customHeight="1">
      <c r="A398" s="6" t="s">
        <v>1183</v>
      </c>
      <c r="B398" s="6" t="s">
        <v>362</v>
      </c>
      <c r="C398" s="6"/>
      <c r="D398" s="1" t="str">
        <f>+VLOOKUP(B398,'Maestro Personas'!$B$7:$C$105,2,0)</f>
        <v>19.960.344-2</v>
      </c>
      <c r="E398" s="1" t="str">
        <f>+VLOOKUP(B398,'Maestro Personas'!$B$7:$W$105,22,0)</f>
        <v>Benjamín</v>
      </c>
      <c r="F398" s="1" t="str">
        <f>+VLOOKUP(B398,'Maestro Personas'!$B$7:$G$105,6,0)</f>
        <v>Consultor/a - Comunicaciones</v>
      </c>
    </row>
    <row r="399" ht="15.75" customHeight="1">
      <c r="A399" s="6" t="s">
        <v>1183</v>
      </c>
      <c r="B399" s="6" t="s">
        <v>367</v>
      </c>
      <c r="C399" s="6"/>
      <c r="D399" s="1" t="str">
        <f>+VLOOKUP(B399,'Maestro Personas'!$B$7:$C$105,2,0)</f>
        <v>20.833.546-4</v>
      </c>
      <c r="E399" s="1" t="str">
        <f>+VLOOKUP(B399,'Maestro Personas'!$B$7:$W$105,22,0)</f>
        <v>Paula</v>
      </c>
      <c r="F399" s="1" t="str">
        <f>+VLOOKUP(B399,'Maestro Personas'!$B$7:$G$105,6,0)</f>
        <v>Consultores - Digital</v>
      </c>
    </row>
    <row r="400" ht="15.75" customHeight="1">
      <c r="A400" s="6" t="s">
        <v>1183</v>
      </c>
      <c r="B400" s="6" t="s">
        <v>445</v>
      </c>
      <c r="C400" s="6"/>
      <c r="D400" s="1" t="str">
        <f>+VLOOKUP(B400,'Maestro Personas'!$B$7:$C$105,2,0)</f>
        <v>18.497.525-4</v>
      </c>
      <c r="E400" s="1" t="str">
        <f>+VLOOKUP(B400,'Maestro Personas'!$B$7:$W$105,22,0)</f>
        <v>Javi</v>
      </c>
      <c r="F400" s="1" t="str">
        <f>+VLOOKUP(B400,'Maestro Personas'!$B$7:$G$105,6,0)</f>
        <v>Ejecutivo/a de Cuentas - Digital</v>
      </c>
    </row>
    <row r="401" ht="15.75" customHeight="1">
      <c r="A401" s="6" t="s">
        <v>1183</v>
      </c>
      <c r="B401" s="6" t="s">
        <v>452</v>
      </c>
      <c r="C401" s="6"/>
      <c r="D401" s="1" t="str">
        <f>+VLOOKUP(B401,'Maestro Personas'!$B$7:$C$105,2,0)</f>
        <v>15.433.915-9</v>
      </c>
      <c r="E401" s="1" t="str">
        <f>+VLOOKUP(B401,'Maestro Personas'!$B$7:$W$105,22,0)</f>
        <v>Mauricio</v>
      </c>
      <c r="F401" s="1" t="str">
        <f>+VLOOKUP(B401,'Maestro Personas'!$B$7:$G$105,6,0)</f>
        <v>Consultor/a Senior - Prensa</v>
      </c>
    </row>
    <row r="402" ht="15.75" customHeight="1">
      <c r="A402" s="6" t="s">
        <v>1184</v>
      </c>
      <c r="B402" s="6" t="s">
        <v>266</v>
      </c>
      <c r="C402" s="6"/>
      <c r="D402" s="1" t="str">
        <f>+VLOOKUP(B402,'Maestro Personas'!$B$7:$C$105,2,0)</f>
        <v>18.845.158-6</v>
      </c>
      <c r="E402" s="1" t="str">
        <f>+VLOOKUP(B402,'Maestro Personas'!$B$7:$W$105,22,0)</f>
        <v>Sari</v>
      </c>
      <c r="F402" s="1" t="str">
        <f>+VLOOKUP(B402,'Maestro Personas'!$B$7:$G$105,6,0)</f>
        <v>Consultor/a Senior - Comunicaciones</v>
      </c>
    </row>
    <row r="403" ht="15.75" customHeight="1">
      <c r="A403" s="6" t="s">
        <v>1184</v>
      </c>
      <c r="B403" s="6" t="s">
        <v>403</v>
      </c>
      <c r="C403" s="6"/>
      <c r="D403" s="1" t="str">
        <f>+VLOOKUP(B403,'Maestro Personas'!$B$7:$C$105,2,0)</f>
        <v>16.468.441-5</v>
      </c>
      <c r="E403" s="1" t="str">
        <f>+VLOOKUP(B403,'Maestro Personas'!$B$7:$W$105,22,0)</f>
        <v>Romi</v>
      </c>
      <c r="F403" s="1" t="str">
        <f>+VLOOKUP(B403,'Maestro Personas'!$B$7:$G$105,6,0)</f>
        <v>Director/a - Comunicaciones</v>
      </c>
    </row>
    <row r="404" ht="15.75" customHeight="1">
      <c r="A404" s="6" t="s">
        <v>1184</v>
      </c>
      <c r="B404" s="6" t="s">
        <v>160</v>
      </c>
      <c r="C404" s="6"/>
      <c r="D404" s="1" t="str">
        <f>+VLOOKUP(B404,'Maestro Personas'!$B$7:$C$105,2,0)</f>
        <v>17.407.755-k</v>
      </c>
      <c r="E404" s="1" t="str">
        <f>+VLOOKUP(B404,'Maestro Personas'!$B$7:$W$105,22,0)</f>
        <v>Stefano</v>
      </c>
      <c r="F404" s="1" t="str">
        <f>+VLOOKUP(B404,'Maestro Personas'!$B$7:$G$105,6,0)</f>
        <v>Consultor/a Senior - AAPP</v>
      </c>
    </row>
    <row r="405" ht="15.75" customHeight="1">
      <c r="A405" s="6" t="s">
        <v>1184</v>
      </c>
      <c r="B405" s="6" t="s">
        <v>40</v>
      </c>
      <c r="C405" s="6"/>
      <c r="D405" s="1" t="str">
        <f>+VLOOKUP(B405,'Maestro Personas'!$B$7:$C$105,2,0)</f>
        <v>9.766.376-9</v>
      </c>
      <c r="E405" s="1" t="str">
        <f>+VLOOKUP(B405,'Maestro Personas'!$B$7:$W$105,22,0)</f>
        <v>Cristina</v>
      </c>
      <c r="F405" s="1" t="str">
        <f>+VLOOKUP(B405,'Maestro Personas'!$B$7:$G$105,6,0)</f>
        <v>Socio</v>
      </c>
    </row>
    <row r="406" ht="15.75" customHeight="1">
      <c r="A406" s="6" t="s">
        <v>1184</v>
      </c>
      <c r="B406" s="6" t="s">
        <v>131</v>
      </c>
      <c r="C406" s="6"/>
      <c r="D406" s="1" t="str">
        <f>+VLOOKUP(B406,'Maestro Personas'!$B$7:$C$105,2,0)</f>
        <v>19.293.473-7</v>
      </c>
      <c r="E406" s="1" t="str">
        <f>+VLOOKUP(B406,'Maestro Personas'!$B$7:$W$105,22,0)</f>
        <v>Martina</v>
      </c>
      <c r="F406" s="1" t="str">
        <f>+VLOOKUP(B406,'Maestro Personas'!$B$7:$G$105,6,0)</f>
        <v>Consultor/a - Comunicaciones</v>
      </c>
    </row>
    <row r="407" ht="15.75" customHeight="1">
      <c r="A407" s="6" t="s">
        <v>1184</v>
      </c>
      <c r="B407" s="6" t="s">
        <v>294</v>
      </c>
      <c r="C407" s="6"/>
      <c r="D407" s="1" t="str">
        <f>+VLOOKUP(B407,'Maestro Personas'!$B$7:$C$105,2,0)</f>
        <v>10.059.648-2</v>
      </c>
      <c r="E407" s="1" t="str">
        <f>+VLOOKUP(B407,'Maestro Personas'!$B$7:$W$105,22,0)</f>
        <v/>
      </c>
      <c r="F407" s="1" t="str">
        <f>+VLOOKUP(B407,'Maestro Personas'!$B$7:$G$105,6,0)</f>
        <v>Consultor/a Senior - AAPP</v>
      </c>
    </row>
    <row r="408" ht="15.75" customHeight="1">
      <c r="A408" s="6" t="s">
        <v>1184</v>
      </c>
      <c r="B408" s="6" t="s">
        <v>144</v>
      </c>
      <c r="C408" s="6"/>
      <c r="D408" s="1" t="str">
        <f>+VLOOKUP(B408,'Maestro Personas'!$B$7:$C$105,2,0)</f>
        <v>15.341.075-5</v>
      </c>
      <c r="E408" s="1" t="str">
        <f>+VLOOKUP(B408,'Maestro Personas'!$B$7:$W$105,22,0)</f>
        <v>Lisette</v>
      </c>
      <c r="F408" s="1" t="str">
        <f>+VLOOKUP(B408,'Maestro Personas'!$B$7:$G$105,6,0)</f>
        <v>Socio Director</v>
      </c>
    </row>
    <row r="409" ht="15.75" customHeight="1">
      <c r="A409" s="6" t="s">
        <v>1184</v>
      </c>
      <c r="B409" s="6" t="s">
        <v>437</v>
      </c>
      <c r="C409" s="6"/>
      <c r="D409" s="1" t="str">
        <f>+VLOOKUP(B409,'Maestro Personas'!$B$7:$C$105,2,0)</f>
        <v>19.246.948-1</v>
      </c>
      <c r="E409" s="1" t="str">
        <f>+VLOOKUP(B409,'Maestro Personas'!$B$7:$W$105,22,0)</f>
        <v>Elisa o Eli</v>
      </c>
      <c r="F409" s="1" t="str">
        <f>+VLOOKUP(B409,'Maestro Personas'!$B$7:$G$105,6,0)</f>
        <v>Ejecutivo/a - Comunicaciones</v>
      </c>
    </row>
    <row r="410" ht="15.75" customHeight="1">
      <c r="A410" s="6" t="s">
        <v>1184</v>
      </c>
      <c r="B410" s="6" t="s">
        <v>241</v>
      </c>
      <c r="C410" s="6"/>
      <c r="D410" s="1" t="str">
        <f>+VLOOKUP(B410,'Maestro Personas'!$B$7:$C$105,2,0)</f>
        <v>21.412.373-8</v>
      </c>
      <c r="E410" s="1" t="str">
        <f>+VLOOKUP(B410,'Maestro Personas'!$B$7:$W$105,22,0)</f>
        <v>Fran</v>
      </c>
      <c r="F410" s="1" t="str">
        <f>+VLOOKUP(B410,'Maestro Personas'!$B$7:$G$105,6,0)</f>
        <v>Trainee</v>
      </c>
    </row>
    <row r="411" ht="15.75" customHeight="1">
      <c r="A411" s="6" t="s">
        <v>1184</v>
      </c>
      <c r="B411" s="6" t="s">
        <v>343</v>
      </c>
      <c r="C411" s="6"/>
      <c r="D411" s="1" t="str">
        <f>+VLOOKUP(B411,'Maestro Personas'!$B$7:$C$105,2,0)</f>
        <v>17.028.885-8</v>
      </c>
      <c r="E411" s="1" t="str">
        <f>+VLOOKUP(B411,'Maestro Personas'!$B$7:$W$105,22,0)</f>
        <v>Mane</v>
      </c>
      <c r="F411" s="1" t="str">
        <f>+VLOOKUP(B411,'Maestro Personas'!$B$7:$G$105,6,0)</f>
        <v>Consultor/a Senior - Comunicaciones</v>
      </c>
    </row>
    <row r="412" ht="15.75" customHeight="1">
      <c r="A412" s="6" t="s">
        <v>1184</v>
      </c>
      <c r="B412" s="6" t="s">
        <v>42</v>
      </c>
      <c r="C412" s="6"/>
      <c r="D412" s="1" t="str">
        <f>+VLOOKUP(B412,'Maestro Personas'!$B$7:$C$105,2,0)</f>
        <v>19.939.876-8</v>
      </c>
      <c r="E412" s="1" t="str">
        <f>+VLOOKUP(B412,'Maestro Personas'!$B$7:$W$105,22,0)</f>
        <v>Caro</v>
      </c>
      <c r="F412" s="1" t="str">
        <f>+VLOOKUP(B412,'Maestro Personas'!$B$7:$G$105,6,0)</f>
        <v>Ejecutivo/a - AAPP</v>
      </c>
    </row>
    <row r="413" ht="15.75" customHeight="1">
      <c r="A413" s="6" t="s">
        <v>1184</v>
      </c>
      <c r="B413" s="6" t="s">
        <v>256</v>
      </c>
      <c r="C413" s="6"/>
      <c r="D413" s="1" t="str">
        <f>+VLOOKUP(B413,'Maestro Personas'!$B$7:$C$105,2,0)</f>
        <v>20.165.428-9</v>
      </c>
      <c r="E413" s="1" t="str">
        <f>+VLOOKUP(B413,'Maestro Personas'!$B$7:$W$105,22,0)</f>
        <v>Jo</v>
      </c>
      <c r="F413" s="1" t="str">
        <f>+VLOOKUP(B413,'Maestro Personas'!$B$7:$G$105,6,0)</f>
        <v>Ejecutivo/a - Comunicaciones</v>
      </c>
    </row>
    <row r="414" ht="15.75" customHeight="1">
      <c r="A414" s="6" t="s">
        <v>1184</v>
      </c>
      <c r="B414" s="6" t="s">
        <v>352</v>
      </c>
      <c r="C414" s="6"/>
      <c r="D414" s="1" t="str">
        <f>+VLOOKUP(B414,'Maestro Personas'!$B$7:$C$105,2,0)</f>
        <v>15.642.655-5</v>
      </c>
      <c r="E414" s="1" t="str">
        <f>+VLOOKUP(B414,'Maestro Personas'!$B$7:$W$105,22,0)</f>
        <v>Maca</v>
      </c>
      <c r="F414" s="1" t="str">
        <f>+VLOOKUP(B414,'Maestro Personas'!$B$7:$G$105,6,0)</f>
        <v>Director/a - Comunicaciones</v>
      </c>
    </row>
    <row r="415" ht="15.75" customHeight="1">
      <c r="A415" s="6" t="s">
        <v>1184</v>
      </c>
      <c r="B415" s="6" t="s">
        <v>440</v>
      </c>
      <c r="C415" s="6"/>
      <c r="D415" s="1" t="str">
        <f>+VLOOKUP(B415,'Maestro Personas'!$B$7:$C$105,2,0)</f>
        <v>19.078.174-7</v>
      </c>
      <c r="E415" s="1" t="str">
        <f>+VLOOKUP(B415,'Maestro Personas'!$B$7:$W$105,22,0)</f>
        <v>Yael</v>
      </c>
      <c r="F415" s="1" t="str">
        <f>+VLOOKUP(B415,'Maestro Personas'!$B$7:$G$105,6,0)</f>
        <v>Consultor/a - Comunicaciones</v>
      </c>
    </row>
    <row r="416" ht="15.75" customHeight="1">
      <c r="A416" s="6" t="s">
        <v>1185</v>
      </c>
      <c r="B416" s="6" t="s">
        <v>73</v>
      </c>
      <c r="C416" s="6"/>
      <c r="D416" s="1" t="str">
        <f>+VLOOKUP(B416,'Maestro Personas'!$B$7:$C$105,2,0)</f>
        <v>16.282.327-2</v>
      </c>
      <c r="E416" s="1" t="str">
        <f>+VLOOKUP(B416,'Maestro Personas'!$B$7:$W$105,22,0)</f>
        <v>Jose, JM</v>
      </c>
      <c r="F416" s="1" t="str">
        <f>+VLOOKUP(B416,'Maestro Personas'!$B$7:$G$105,6,0)</f>
        <v>Socio Área Digital</v>
      </c>
    </row>
    <row r="417" ht="15.75" customHeight="1">
      <c r="A417" s="6" t="s">
        <v>1185</v>
      </c>
      <c r="B417" s="6" t="s">
        <v>140</v>
      </c>
      <c r="C417" s="6"/>
      <c r="D417" s="1" t="str">
        <f>+VLOOKUP(B417,'Maestro Personas'!$B$7:$C$105,2,0)</f>
        <v>20.075.693-2</v>
      </c>
      <c r="E417" s="1" t="str">
        <f>+VLOOKUP(B417,'Maestro Personas'!$B$7:$W$105,22,0)</f>
        <v>Felipe</v>
      </c>
      <c r="F417" s="1" t="str">
        <f>+VLOOKUP(B417,'Maestro Personas'!$B$7:$G$105,6,0)</f>
        <v>Ejecutivo/a de Cuentas - Digital</v>
      </c>
    </row>
    <row r="418" ht="15.75" customHeight="1">
      <c r="A418" s="6" t="s">
        <v>1185</v>
      </c>
      <c r="B418" s="6" t="s">
        <v>309</v>
      </c>
      <c r="C418" s="6"/>
      <c r="D418" s="1" t="str">
        <f>+VLOOKUP(B418,'Maestro Personas'!$B$7:$C$105,2,0)</f>
        <v>15.720.094-1</v>
      </c>
      <c r="E418" s="1" t="str">
        <f>+VLOOKUP(B418,'Maestro Personas'!$B$7:$W$105,22,0)</f>
        <v>Marco</v>
      </c>
      <c r="F418" s="1" t="str">
        <f>+VLOOKUP(B418,'Maestro Personas'!$B$7:$G$105,6,0)</f>
        <v>Director - Digital</v>
      </c>
    </row>
    <row r="419" ht="15.75" customHeight="1">
      <c r="A419" s="6" t="s">
        <v>1185</v>
      </c>
      <c r="B419" s="6" t="s">
        <v>313</v>
      </c>
      <c r="C419" s="6"/>
      <c r="D419" s="1" t="str">
        <f>+VLOOKUP(B419,'Maestro Personas'!$B$7:$C$105,2,0)</f>
        <v>10.321.885-3</v>
      </c>
      <c r="E419" s="1" t="str">
        <f>+VLOOKUP(B419,'Maestro Personas'!$B$7:$W$105,22,0)</f>
        <v>Toño</v>
      </c>
      <c r="F419" s="1" t="str">
        <f>+VLOOKUP(B419,'Maestro Personas'!$B$7:$G$105,6,0)</f>
        <v>Consultores Senior - Digital</v>
      </c>
    </row>
    <row r="420" ht="15.75" customHeight="1">
      <c r="A420" s="6" t="s">
        <v>1186</v>
      </c>
      <c r="B420" s="6" t="s">
        <v>266</v>
      </c>
      <c r="C420" s="6"/>
      <c r="D420" s="1" t="str">
        <f>+VLOOKUP(B420,'Maestro Personas'!$B$7:$C$105,2,0)</f>
        <v>18.845.158-6</v>
      </c>
      <c r="E420" s="1" t="str">
        <f>+VLOOKUP(B420,'Maestro Personas'!$B$7:$W$105,22,0)</f>
        <v>Sari</v>
      </c>
      <c r="F420" s="1" t="str">
        <f>+VLOOKUP(B420,'Maestro Personas'!$B$7:$G$105,6,0)</f>
        <v>Consultor/a Senior - Comunicaciones</v>
      </c>
    </row>
    <row r="421" ht="15.75" customHeight="1">
      <c r="A421" s="6" t="s">
        <v>1186</v>
      </c>
      <c r="B421" s="6" t="s">
        <v>40</v>
      </c>
      <c r="C421" s="6"/>
      <c r="D421" s="1" t="str">
        <f>+VLOOKUP(B421,'Maestro Personas'!$B$7:$C$105,2,0)</f>
        <v>9.766.376-9</v>
      </c>
      <c r="E421" s="1" t="str">
        <f>+VLOOKUP(B421,'Maestro Personas'!$B$7:$W$105,22,0)</f>
        <v>Cristina</v>
      </c>
      <c r="F421" s="1" t="str">
        <f>+VLOOKUP(B421,'Maestro Personas'!$B$7:$G$105,6,0)</f>
        <v>Socio</v>
      </c>
    </row>
    <row r="422" ht="15.75" customHeight="1">
      <c r="A422" s="6" t="s">
        <v>1186</v>
      </c>
      <c r="B422" s="6" t="s">
        <v>151</v>
      </c>
      <c r="C422" s="6"/>
      <c r="D422" s="1" t="str">
        <f>+VLOOKUP(B422,'Maestro Personas'!$B$7:$C$105,2,0)</f>
        <v>14.533.402-0</v>
      </c>
      <c r="E422" s="1" t="str">
        <f>+VLOOKUP(B422,'Maestro Personas'!$B$7:$W$105,22,0)</f>
        <v>Pablo</v>
      </c>
      <c r="F422" s="1" t="str">
        <f>+VLOOKUP(B422,'Maestro Personas'!$B$7:$G$105,6,0)</f>
        <v>Consultor/a Senior - AAPP</v>
      </c>
    </row>
    <row r="423" ht="15.75" customHeight="1">
      <c r="A423" s="6" t="s">
        <v>1187</v>
      </c>
      <c r="B423" s="6" t="s">
        <v>66</v>
      </c>
      <c r="C423" s="6"/>
      <c r="D423" s="1" t="str">
        <f>+VLOOKUP(B423,'Maestro Personas'!$B$7:$C$105,2,0)</f>
        <v>10.818.275-k</v>
      </c>
      <c r="E423" s="1" t="str">
        <f>+VLOOKUP(B423,'Maestro Personas'!$B$7:$W$105,22,0)</f>
        <v>Felipe</v>
      </c>
      <c r="F423" s="1" t="str">
        <f>+VLOOKUP(B423,'Maestro Personas'!$B$7:$G$105,6,0)</f>
        <v>Socio</v>
      </c>
    </row>
    <row r="424" ht="15.75" customHeight="1">
      <c r="A424" s="6" t="s">
        <v>1187</v>
      </c>
      <c r="B424" s="6" t="s">
        <v>219</v>
      </c>
      <c r="C424" s="6"/>
      <c r="D424" s="1" t="str">
        <f>+VLOOKUP(B424,'Maestro Personas'!$B$7:$C$105,2,0)</f>
        <v>15.370.192-k</v>
      </c>
      <c r="E424" s="1" t="str">
        <f>+VLOOKUP(B424,'Maestro Personas'!$B$7:$W$105,22,0)</f>
        <v/>
      </c>
      <c r="F424" s="1" t="str">
        <f>+VLOOKUP(B424,'Maestro Personas'!$B$7:$G$105,6,0)</f>
        <v>Director/a - Comunicaciones</v>
      </c>
    </row>
    <row r="425" ht="15.75" customHeight="1">
      <c r="A425" s="6" t="s">
        <v>1187</v>
      </c>
      <c r="B425" s="6" t="s">
        <v>261</v>
      </c>
      <c r="C425" s="6"/>
      <c r="D425" s="1" t="str">
        <f>+VLOOKUP(B425,'Maestro Personas'!$B$7:$C$105,2,0)</f>
        <v>12.659.237-k</v>
      </c>
      <c r="E425" s="1" t="str">
        <f>+VLOOKUP(B425,'Maestro Personas'!$B$7:$W$105,22,0)</f>
        <v/>
      </c>
      <c r="F425" s="1" t="str">
        <f>+VLOOKUP(B425,'Maestro Personas'!$B$7:$G$105,6,0)</f>
        <v>Director/a Senior - Comunicaciones</v>
      </c>
    </row>
    <row r="426" ht="15.75" customHeight="1">
      <c r="A426" s="6" t="s">
        <v>1188</v>
      </c>
      <c r="B426" s="6" t="s">
        <v>127</v>
      </c>
      <c r="C426" s="6"/>
      <c r="D426" s="1" t="str">
        <f>+VLOOKUP(B426,'Maestro Personas'!$B$7:$C$105,2,0)</f>
        <v>20.909.557-2</v>
      </c>
      <c r="E426" s="1" t="str">
        <f>+VLOOKUP(B426,'Maestro Personas'!$B$7:$W$105,22,0)</f>
        <v/>
      </c>
      <c r="F426" s="1" t="str">
        <f>+VLOOKUP(B426,'Maestro Personas'!$B$7:$G$105,6,0)</f>
        <v>Trainee</v>
      </c>
    </row>
    <row r="427" ht="15.75" customHeight="1">
      <c r="A427" s="6" t="s">
        <v>1188</v>
      </c>
      <c r="B427" s="6" t="s">
        <v>164</v>
      </c>
      <c r="C427" s="6"/>
      <c r="D427" s="1" t="str">
        <f>+VLOOKUP(B427,'Maestro Personas'!$B$7:$C$105,2,0)</f>
        <v>15.722.742-4</v>
      </c>
      <c r="E427" s="1" t="str">
        <f>+VLOOKUP(B427,'Maestro Personas'!$B$7:$W$105,22,0)</f>
        <v>Robert</v>
      </c>
      <c r="F427" s="1" t="str">
        <f>+VLOOKUP(B427,'Maestro Personas'!$B$7:$G$105,6,0)</f>
        <v>Director/a - AAPP</v>
      </c>
    </row>
    <row r="428" ht="15.75" customHeight="1">
      <c r="A428" s="6" t="s">
        <v>1188</v>
      </c>
      <c r="B428" s="6" t="s">
        <v>150</v>
      </c>
      <c r="C428" s="6"/>
      <c r="D428" s="1" t="str">
        <f>+VLOOKUP(B428,'Maestro Personas'!$B$7:$C$105,2,0)</f>
        <v>18.588.568-2</v>
      </c>
      <c r="E428" s="1" t="str">
        <f>+VLOOKUP(B428,'Maestro Personas'!$B$7:$W$105,22,0)</f>
        <v>Ana</v>
      </c>
      <c r="F428" s="1" t="str">
        <f>+VLOOKUP(B428,'Maestro Personas'!$B$7:$G$105,6,0)</f>
        <v>Consultor/a - AAPP</v>
      </c>
    </row>
    <row r="429" ht="15.75" customHeight="1">
      <c r="A429" s="6" t="s">
        <v>1188</v>
      </c>
      <c r="B429" s="6" t="s">
        <v>42</v>
      </c>
      <c r="C429" s="6"/>
      <c r="D429" s="1" t="str">
        <f>+VLOOKUP(B429,'Maestro Personas'!$B$7:$C$105,2,0)</f>
        <v>19.939.876-8</v>
      </c>
      <c r="E429" s="1" t="str">
        <f>+VLOOKUP(B429,'Maestro Personas'!$B$7:$W$105,22,0)</f>
        <v>Caro</v>
      </c>
      <c r="F429" s="1" t="str">
        <f>+VLOOKUP(B429,'Maestro Personas'!$B$7:$G$105,6,0)</f>
        <v>Ejecutivo/a - AAPP</v>
      </c>
    </row>
    <row r="430" ht="15.75" customHeight="1">
      <c r="A430" s="6" t="s">
        <v>1188</v>
      </c>
      <c r="B430" s="6" t="s">
        <v>151</v>
      </c>
      <c r="C430" s="6"/>
      <c r="D430" s="1" t="str">
        <f>+VLOOKUP(B430,'Maestro Personas'!$B$7:$C$105,2,0)</f>
        <v>14.533.402-0</v>
      </c>
      <c r="E430" s="1" t="str">
        <f>+VLOOKUP(B430,'Maestro Personas'!$B$7:$W$105,22,0)</f>
        <v>Pablo</v>
      </c>
      <c r="F430" s="1" t="str">
        <f>+VLOOKUP(B430,'Maestro Personas'!$B$7:$G$105,6,0)</f>
        <v>Consultor/a Senior - AAPP</v>
      </c>
    </row>
    <row r="431" ht="15.75" customHeight="1">
      <c r="A431" s="6" t="s">
        <v>1189</v>
      </c>
      <c r="B431" s="6" t="s">
        <v>40</v>
      </c>
      <c r="C431" s="6"/>
      <c r="D431" s="1" t="str">
        <f>+VLOOKUP(B431,'Maestro Personas'!$B$7:$C$105,2,0)</f>
        <v>9.766.376-9</v>
      </c>
      <c r="E431" s="1" t="str">
        <f>+VLOOKUP(B431,'Maestro Personas'!$B$7:$W$105,22,0)</f>
        <v>Cristina</v>
      </c>
      <c r="F431" s="1" t="str">
        <f>+VLOOKUP(B431,'Maestro Personas'!$B$7:$G$105,6,0)</f>
        <v>Socio</v>
      </c>
    </row>
    <row r="432" ht="15.75" customHeight="1">
      <c r="A432" s="6" t="s">
        <v>1189</v>
      </c>
      <c r="B432" s="6" t="s">
        <v>328</v>
      </c>
      <c r="C432" s="6"/>
      <c r="D432" s="1" t="str">
        <f>+VLOOKUP(B432,'Maestro Personas'!$B$7:$C$105,2,0)</f>
        <v>19.242.632-4</v>
      </c>
      <c r="E432" s="1" t="str">
        <f>+VLOOKUP(B432,'Maestro Personas'!$B$7:$W$105,22,0)</f>
        <v>Ignacio</v>
      </c>
      <c r="F432" s="1" t="str">
        <f>+VLOOKUP(B432,'Maestro Personas'!$B$7:$G$105,6,0)</f>
        <v>Ejecutivo/a - Comunicaciones</v>
      </c>
    </row>
    <row r="433" ht="15.75" customHeight="1">
      <c r="A433" s="6" t="s">
        <v>1189</v>
      </c>
      <c r="B433" s="6" t="s">
        <v>199</v>
      </c>
      <c r="C433" s="6"/>
      <c r="D433" s="1" t="str">
        <f>+VLOOKUP(B433,'Maestro Personas'!$B$7:$C$105,2,0)</f>
        <v>12.403.456-6</v>
      </c>
      <c r="E433" s="1" t="str">
        <f>+VLOOKUP(B433,'Maestro Personas'!$B$7:$W$105,22,0)</f>
        <v>Dani</v>
      </c>
      <c r="F433" s="1" t="str">
        <f>+VLOOKUP(B433,'Maestro Personas'!$B$7:$G$105,6,0)</f>
        <v>Socio Director</v>
      </c>
    </row>
    <row r="434" ht="15.75" customHeight="1">
      <c r="A434" s="6" t="s">
        <v>1189</v>
      </c>
      <c r="B434" s="6" t="s">
        <v>133</v>
      </c>
      <c r="C434" s="6"/>
      <c r="D434" s="1" t="str">
        <f>+VLOOKUP(B434,'Maestro Personas'!$B$7:$C$105,2,0)</f>
        <v>15.959.738-5</v>
      </c>
      <c r="E434" s="1" t="str">
        <f>+VLOOKUP(B434,'Maestro Personas'!$B$7:$W$105,22,0)</f>
        <v>Javi</v>
      </c>
      <c r="F434" s="1" t="str">
        <f>+VLOOKUP(B434,'Maestro Personas'!$B$7:$G$105,6,0)</f>
        <v>Director/a - AAPP</v>
      </c>
    </row>
    <row r="435" ht="15.75" customHeight="1">
      <c r="A435" s="6" t="s">
        <v>1189</v>
      </c>
      <c r="B435" s="6" t="s">
        <v>374</v>
      </c>
      <c r="C435" s="6"/>
      <c r="D435" s="1" t="str">
        <f>+VLOOKUP(B435,'Maestro Personas'!$B$7:$C$105,2,0)</f>
        <v>11.625.604-5</v>
      </c>
      <c r="E435" s="1" t="str">
        <f>+VLOOKUP(B435,'Maestro Personas'!$B$7:$W$105,22,0)</f>
        <v>Carlos</v>
      </c>
      <c r="F435" s="1" t="str">
        <f>+VLOOKUP(B435,'Maestro Personas'!$B$7:$G$105,6,0)</f>
        <v>Director/a Senior - Comunicaciones</v>
      </c>
    </row>
    <row r="436" ht="15.75" customHeight="1">
      <c r="A436" s="6" t="s">
        <v>1190</v>
      </c>
      <c r="B436" s="6" t="s">
        <v>73</v>
      </c>
      <c r="C436" s="6"/>
      <c r="D436" s="1" t="str">
        <f>+VLOOKUP(B436,'Maestro Personas'!$B$7:$C$105,2,0)</f>
        <v>16.282.327-2</v>
      </c>
      <c r="E436" s="1" t="str">
        <f>+VLOOKUP(B436,'Maestro Personas'!$B$7:$W$105,22,0)</f>
        <v>Jose, JM</v>
      </c>
      <c r="F436" s="1" t="str">
        <f>+VLOOKUP(B436,'Maestro Personas'!$B$7:$G$105,6,0)</f>
        <v>Socio Área Digital</v>
      </c>
    </row>
    <row r="437" ht="15.75" customHeight="1">
      <c r="A437" s="6" t="s">
        <v>1190</v>
      </c>
      <c r="B437" s="6" t="s">
        <v>40</v>
      </c>
      <c r="C437" s="6"/>
      <c r="D437" s="1" t="str">
        <f>+VLOOKUP(B437,'Maestro Personas'!$B$7:$C$105,2,0)</f>
        <v>9.766.376-9</v>
      </c>
      <c r="E437" s="1" t="str">
        <f>+VLOOKUP(B437,'Maestro Personas'!$B$7:$W$105,22,0)</f>
        <v>Cristina</v>
      </c>
      <c r="F437" s="1" t="str">
        <f>+VLOOKUP(B437,'Maestro Personas'!$B$7:$G$105,6,0)</f>
        <v>Socio</v>
      </c>
    </row>
    <row r="438" ht="15.75" customHeight="1">
      <c r="A438" s="6" t="s">
        <v>1190</v>
      </c>
      <c r="B438" s="6" t="s">
        <v>59</v>
      </c>
      <c r="C438" s="6"/>
      <c r="D438" s="1" t="str">
        <f>+VLOOKUP(B438,'Maestro Personas'!$B$7:$C$105,2,0)</f>
        <v>8.929.175-5</v>
      </c>
      <c r="E438" s="1" t="str">
        <f>+VLOOKUP(B438,'Maestro Personas'!$B$7:$W$105,22,0)</f>
        <v/>
      </c>
      <c r="F438" s="1" t="str">
        <f>+VLOOKUP(B438,'Maestro Personas'!$B$7:$G$105,6,0)</f>
        <v>Socio Director</v>
      </c>
    </row>
    <row r="439" ht="15.75" customHeight="1">
      <c r="A439" s="6" t="s">
        <v>1190</v>
      </c>
      <c r="B439" s="6" t="s">
        <v>114</v>
      </c>
      <c r="C439" s="6"/>
      <c r="D439" s="1" t="str">
        <f>+VLOOKUP(B439,'Maestro Personas'!$B$7:$C$105,2,0)</f>
        <v>12.019.058-k</v>
      </c>
      <c r="E439" s="1" t="str">
        <f>+VLOOKUP(B439,'Maestro Personas'!$B$7:$W$105,22,0)</f>
        <v/>
      </c>
      <c r="F439" s="1" t="str">
        <f>+VLOOKUP(B439,'Maestro Personas'!$B$7:$G$105,6,0)</f>
        <v>Socio Director</v>
      </c>
    </row>
    <row r="440" ht="15.75" customHeight="1">
      <c r="A440" s="6" t="s">
        <v>1190</v>
      </c>
      <c r="B440" s="6" t="s">
        <v>144</v>
      </c>
      <c r="C440" s="6"/>
      <c r="D440" s="1" t="str">
        <f>+VLOOKUP(B440,'Maestro Personas'!$B$7:$C$105,2,0)</f>
        <v>15.341.075-5</v>
      </c>
      <c r="E440" s="1" t="str">
        <f>+VLOOKUP(B440,'Maestro Personas'!$B$7:$W$105,22,0)</f>
        <v>Lisette</v>
      </c>
      <c r="F440" s="1" t="str">
        <f>+VLOOKUP(B440,'Maestro Personas'!$B$7:$G$105,6,0)</f>
        <v>Socio Director</v>
      </c>
    </row>
    <row r="441" ht="15.75" customHeight="1">
      <c r="A441" s="6" t="s">
        <v>1190</v>
      </c>
      <c r="B441" s="6" t="s">
        <v>83</v>
      </c>
      <c r="C441" s="6"/>
      <c r="D441" s="1" t="str">
        <f>+VLOOKUP(B441,'Maestro Personas'!$B$7:$C$105,2,0)</f>
        <v>14.045.482-6</v>
      </c>
      <c r="E441" s="1" t="str">
        <f>+VLOOKUP(B441,'Maestro Personas'!$B$7:$W$105,22,0)</f>
        <v>Ian</v>
      </c>
      <c r="F441" s="1" t="str">
        <f>+VLOOKUP(B441,'Maestro Personas'!$B$7:$G$105,6,0)</f>
        <v>Socio Director</v>
      </c>
    </row>
    <row r="442" ht="15.75" customHeight="1">
      <c r="A442" s="6" t="s">
        <v>1190</v>
      </c>
      <c r="B442" s="6" t="s">
        <v>304</v>
      </c>
      <c r="C442" s="6"/>
      <c r="D442" s="1" t="str">
        <f>+VLOOKUP(B442,'Maestro Personas'!$B$7:$C$105,2,0)</f>
        <v>17.403.134-7</v>
      </c>
      <c r="E442" s="1" t="str">
        <f>+VLOOKUP(B442,'Maestro Personas'!$B$7:$W$105,22,0)</f>
        <v>Stefano</v>
      </c>
      <c r="F442" s="1" t="str">
        <f>+VLOOKUP(B442,'Maestro Personas'!$B$7:$G$105,6,0)</f>
        <v>Director - Digital</v>
      </c>
    </row>
    <row r="443" ht="15.75" customHeight="1">
      <c r="A443" s="6" t="s">
        <v>1190</v>
      </c>
      <c r="B443" s="6" t="s">
        <v>309</v>
      </c>
      <c r="C443" s="6"/>
      <c r="D443" s="1" t="str">
        <f>+VLOOKUP(B443,'Maestro Personas'!$B$7:$C$105,2,0)</f>
        <v>15.720.094-1</v>
      </c>
      <c r="E443" s="1" t="str">
        <f>+VLOOKUP(B443,'Maestro Personas'!$B$7:$W$105,22,0)</f>
        <v>Marco</v>
      </c>
      <c r="F443" s="1" t="str">
        <f>+VLOOKUP(B443,'Maestro Personas'!$B$7:$G$105,6,0)</f>
        <v>Director - Digital</v>
      </c>
    </row>
    <row r="444" ht="15.75" customHeight="1">
      <c r="A444" s="6" t="s">
        <v>1191</v>
      </c>
      <c r="B444" s="6" t="s">
        <v>140</v>
      </c>
      <c r="C444" s="6"/>
      <c r="D444" s="1" t="str">
        <f>+VLOOKUP(B444,'Maestro Personas'!$B$7:$C$105,2,0)</f>
        <v>20.075.693-2</v>
      </c>
      <c r="E444" s="1" t="str">
        <f>+VLOOKUP(B444,'Maestro Personas'!$B$7:$W$105,22,0)</f>
        <v>Felipe</v>
      </c>
      <c r="F444" s="1" t="str">
        <f>+VLOOKUP(B444,'Maestro Personas'!$B$7:$G$105,6,0)</f>
        <v>Ejecutivo/a de Cuentas - Digital</v>
      </c>
    </row>
    <row r="445" ht="15.75" customHeight="1">
      <c r="A445" s="6" t="s">
        <v>1191</v>
      </c>
      <c r="B445" s="6" t="s">
        <v>66</v>
      </c>
      <c r="C445" s="6"/>
      <c r="D445" s="1" t="str">
        <f>+VLOOKUP(B445,'Maestro Personas'!$B$7:$C$105,2,0)</f>
        <v>10.818.275-k</v>
      </c>
      <c r="E445" s="1" t="str">
        <f>+VLOOKUP(B445,'Maestro Personas'!$B$7:$W$105,22,0)</f>
        <v>Felipe</v>
      </c>
      <c r="F445" s="1" t="str">
        <f>+VLOOKUP(B445,'Maestro Personas'!$B$7:$G$105,6,0)</f>
        <v>Socio</v>
      </c>
    </row>
    <row r="446" ht="15.75" customHeight="1">
      <c r="A446" s="6" t="s">
        <v>1191</v>
      </c>
      <c r="B446" s="6" t="s">
        <v>114</v>
      </c>
      <c r="C446" s="6"/>
      <c r="D446" s="1" t="str">
        <f>+VLOOKUP(B446,'Maestro Personas'!$B$7:$C$105,2,0)</f>
        <v>12.019.058-k</v>
      </c>
      <c r="E446" s="1" t="str">
        <f>+VLOOKUP(B446,'Maestro Personas'!$B$7:$W$105,22,0)</f>
        <v/>
      </c>
      <c r="F446" s="1" t="str">
        <f>+VLOOKUP(B446,'Maestro Personas'!$B$7:$G$105,6,0)</f>
        <v>Socio Director</v>
      </c>
    </row>
    <row r="447" ht="15.75" customHeight="1">
      <c r="A447" s="6" t="s">
        <v>1191</v>
      </c>
      <c r="B447" s="6" t="s">
        <v>245</v>
      </c>
      <c r="C447" s="6"/>
      <c r="D447" s="1" t="str">
        <f>+VLOOKUP(B447,'Maestro Personas'!$B$7:$C$105,2,0)</f>
        <v>17.353.392-6</v>
      </c>
      <c r="E447" s="1" t="str">
        <f>+VLOOKUP(B447,'Maestro Personas'!$B$7:$W$105,22,0)</f>
        <v>Taqui</v>
      </c>
      <c r="F447" s="1" t="str">
        <f>+VLOOKUP(B447,'Maestro Personas'!$B$7:$G$105,6,0)</f>
        <v>Consultor/a Senior - Comunicaciones</v>
      </c>
    </row>
    <row r="448" ht="15.75" customHeight="1">
      <c r="A448" s="6" t="s">
        <v>1191</v>
      </c>
      <c r="B448" s="6" t="s">
        <v>151</v>
      </c>
      <c r="C448" s="6"/>
      <c r="D448" s="1" t="str">
        <f>+VLOOKUP(B448,'Maestro Personas'!$B$7:$C$105,2,0)</f>
        <v>14.533.402-0</v>
      </c>
      <c r="E448" s="1" t="str">
        <f>+VLOOKUP(B448,'Maestro Personas'!$B$7:$W$105,22,0)</f>
        <v>Pablo</v>
      </c>
      <c r="F448" s="1" t="str">
        <f>+VLOOKUP(B448,'Maestro Personas'!$B$7:$G$105,6,0)</f>
        <v>Consultor/a Senior - AAPP</v>
      </c>
    </row>
    <row r="449" ht="15.75" customHeight="1">
      <c r="A449" s="6" t="s">
        <v>1192</v>
      </c>
      <c r="B449" s="6" t="s">
        <v>203</v>
      </c>
      <c r="C449" s="6"/>
      <c r="D449" s="1" t="str">
        <f>+VLOOKUP(B449,'Maestro Personas'!$B$7:$C$105,2,0)</f>
        <v>8.344.585-8</v>
      </c>
      <c r="E449" s="1" t="str">
        <f>+VLOOKUP(B449,'Maestro Personas'!$B$7:$W$105,22,0)</f>
        <v>Bego</v>
      </c>
      <c r="F449" s="1" t="str">
        <f>+VLOOKUP(B449,'Maestro Personas'!$B$7:$G$105,6,0)</f>
        <v>Socio Director</v>
      </c>
    </row>
    <row r="450" ht="15.75" customHeight="1">
      <c r="A450" s="6" t="s">
        <v>1192</v>
      </c>
      <c r="B450" s="6" t="s">
        <v>61</v>
      </c>
      <c r="C450" s="6"/>
      <c r="D450" s="1" t="str">
        <f>+VLOOKUP(B450,'Maestro Personas'!$B$7:$C$105,2,0)</f>
        <v>12.454.685-0</v>
      </c>
      <c r="E450" s="1" t="str">
        <f>+VLOOKUP(B450,'Maestro Personas'!$B$7:$W$105,22,0)</f>
        <v>Vic</v>
      </c>
      <c r="F450" s="1" t="str">
        <f>+VLOOKUP(B450,'Maestro Personas'!$B$7:$G$105,6,0)</f>
        <v>Socio Director</v>
      </c>
    </row>
    <row r="451" ht="15.75" customHeight="1">
      <c r="A451" s="6" t="s">
        <v>1192</v>
      </c>
      <c r="B451" s="6" t="s">
        <v>127</v>
      </c>
      <c r="C451" s="6"/>
      <c r="D451" s="1" t="str">
        <f>+VLOOKUP(B451,'Maestro Personas'!$B$7:$C$105,2,0)</f>
        <v>20.909.557-2</v>
      </c>
      <c r="E451" s="1" t="str">
        <f>+VLOOKUP(B451,'Maestro Personas'!$B$7:$W$105,22,0)</f>
        <v/>
      </c>
      <c r="F451" s="1" t="str">
        <f>+VLOOKUP(B451,'Maestro Personas'!$B$7:$G$105,6,0)</f>
        <v>Trainee</v>
      </c>
    </row>
    <row r="452" ht="15.75" customHeight="1">
      <c r="A452" s="6" t="s">
        <v>1192</v>
      </c>
      <c r="B452" s="6" t="s">
        <v>59</v>
      </c>
      <c r="C452" s="6"/>
      <c r="D452" s="1" t="str">
        <f>+VLOOKUP(B452,'Maestro Personas'!$B$7:$C$105,2,0)</f>
        <v>8.929.175-5</v>
      </c>
      <c r="E452" s="1" t="str">
        <f>+VLOOKUP(B452,'Maestro Personas'!$B$7:$W$105,22,0)</f>
        <v/>
      </c>
      <c r="F452" s="1" t="str">
        <f>+VLOOKUP(B452,'Maestro Personas'!$B$7:$G$105,6,0)</f>
        <v>Socio Director</v>
      </c>
    </row>
    <row r="453" ht="15.75" customHeight="1">
      <c r="A453" s="6" t="s">
        <v>1192</v>
      </c>
      <c r="B453" s="6" t="s">
        <v>188</v>
      </c>
      <c r="C453" s="6"/>
      <c r="D453" s="1" t="str">
        <f>+VLOOKUP(B453,'Maestro Personas'!$B$7:$C$105,2,0)</f>
        <v>15.332.168-k</v>
      </c>
      <c r="E453" s="1" t="str">
        <f>+VLOOKUP(B453,'Maestro Personas'!$B$7:$W$105,22,0)</f>
        <v/>
      </c>
      <c r="F453" s="1" t="str">
        <f>+VLOOKUP(B453,'Maestro Personas'!$B$7:$G$105,6,0)</f>
        <v>Consultor/a Senior - Comunicaciones</v>
      </c>
    </row>
    <row r="454" ht="15.75" customHeight="1">
      <c r="A454" s="6" t="s">
        <v>1192</v>
      </c>
      <c r="B454" s="6" t="s">
        <v>299</v>
      </c>
      <c r="C454" s="6"/>
      <c r="D454" s="1" t="str">
        <f>+VLOOKUP(B454,'Maestro Personas'!$B$7:$C$105,2,0)</f>
        <v>17.108.779-1</v>
      </c>
      <c r="E454" s="1" t="str">
        <f>+VLOOKUP(B454,'Maestro Personas'!$B$7:$W$105,22,0)</f>
        <v>Anita</v>
      </c>
      <c r="F454" s="1" t="str">
        <f>+VLOOKUP(B454,'Maestro Personas'!$B$7:$G$105,6,0)</f>
        <v>Ejecutivo/a - Comunicaciones</v>
      </c>
    </row>
    <row r="455" ht="15.75" customHeight="1">
      <c r="A455" s="6" t="s">
        <v>1192</v>
      </c>
      <c r="B455" s="6" t="s">
        <v>225</v>
      </c>
      <c r="C455" s="6"/>
      <c r="D455" s="1" t="str">
        <f>+VLOOKUP(B455,'Maestro Personas'!$B$7:$C$105,2,0)</f>
        <v>20.783.188-3</v>
      </c>
      <c r="E455" s="1" t="str">
        <f>+VLOOKUP(B455,'Maestro Personas'!$B$7:$W$105,22,0)</f>
        <v>Belén</v>
      </c>
      <c r="F455" s="1" t="str">
        <f>+VLOOKUP(B455,'Maestro Personas'!$B$7:$G$105,6,0)</f>
        <v>Ejecutivo/a - Comunicaciones</v>
      </c>
    </row>
    <row r="456" ht="15.75" customHeight="1">
      <c r="A456" s="6" t="s">
        <v>1192</v>
      </c>
      <c r="B456" s="6" t="s">
        <v>150</v>
      </c>
      <c r="C456" s="6"/>
      <c r="D456" s="1" t="str">
        <f>+VLOOKUP(B456,'Maestro Personas'!$B$7:$C$105,2,0)</f>
        <v>18.588.568-2</v>
      </c>
      <c r="E456" s="1" t="str">
        <f>+VLOOKUP(B456,'Maestro Personas'!$B$7:$W$105,22,0)</f>
        <v>Ana</v>
      </c>
      <c r="F456" s="1" t="str">
        <f>+VLOOKUP(B456,'Maestro Personas'!$B$7:$G$105,6,0)</f>
        <v>Consultor/a - AAPP</v>
      </c>
    </row>
    <row r="457" ht="15.75" customHeight="1">
      <c r="A457" s="6" t="s">
        <v>1192</v>
      </c>
      <c r="B457" s="6" t="s">
        <v>241</v>
      </c>
      <c r="C457" s="6"/>
      <c r="D457" s="1" t="str">
        <f>+VLOOKUP(B457,'Maestro Personas'!$B$7:$C$105,2,0)</f>
        <v>21.412.373-8</v>
      </c>
      <c r="E457" s="1" t="str">
        <f>+VLOOKUP(B457,'Maestro Personas'!$B$7:$W$105,22,0)</f>
        <v>Fran</v>
      </c>
      <c r="F457" s="1" t="str">
        <f>+VLOOKUP(B457,'Maestro Personas'!$B$7:$G$105,6,0)</f>
        <v>Trainee</v>
      </c>
    </row>
    <row r="458" ht="15.75" customHeight="1">
      <c r="A458" s="6" t="s">
        <v>1192</v>
      </c>
      <c r="B458" s="6" t="s">
        <v>133</v>
      </c>
      <c r="C458" s="6"/>
      <c r="D458" s="1" t="str">
        <f>+VLOOKUP(B458,'Maestro Personas'!$B$7:$C$105,2,0)</f>
        <v>15.959.738-5</v>
      </c>
      <c r="E458" s="1" t="str">
        <f>+VLOOKUP(B458,'Maestro Personas'!$B$7:$W$105,22,0)</f>
        <v>Javi</v>
      </c>
      <c r="F458" s="1" t="str">
        <f>+VLOOKUP(B458,'Maestro Personas'!$B$7:$G$105,6,0)</f>
        <v>Director/a - AAPP</v>
      </c>
    </row>
    <row r="459" ht="15.75" customHeight="1">
      <c r="A459" s="6" t="s">
        <v>1193</v>
      </c>
      <c r="B459" s="6" t="s">
        <v>40</v>
      </c>
      <c r="C459" s="6"/>
      <c r="D459" s="1" t="str">
        <f>+VLOOKUP(B459,'Maestro Personas'!$B$7:$C$105,2,0)</f>
        <v>9.766.376-9</v>
      </c>
      <c r="E459" s="1" t="str">
        <f>+VLOOKUP(B459,'Maestro Personas'!$B$7:$W$105,22,0)</f>
        <v>Cristina</v>
      </c>
      <c r="F459" s="1" t="str">
        <f>+VLOOKUP(B459,'Maestro Personas'!$B$7:$G$105,6,0)</f>
        <v>Socio</v>
      </c>
    </row>
    <row r="460" ht="15.75" customHeight="1">
      <c r="A460" s="6" t="s">
        <v>1193</v>
      </c>
      <c r="B460" s="6" t="s">
        <v>328</v>
      </c>
      <c r="C460" s="6"/>
      <c r="D460" s="1" t="str">
        <f>+VLOOKUP(B460,'Maestro Personas'!$B$7:$C$105,2,0)</f>
        <v>19.242.632-4</v>
      </c>
      <c r="E460" s="1" t="str">
        <f>+VLOOKUP(B460,'Maestro Personas'!$B$7:$W$105,22,0)</f>
        <v>Ignacio</v>
      </c>
      <c r="F460" s="1" t="str">
        <f>+VLOOKUP(B460,'Maestro Personas'!$B$7:$G$105,6,0)</f>
        <v>Ejecutivo/a - Comunicaciones</v>
      </c>
    </row>
    <row r="461" ht="15.75" customHeight="1">
      <c r="A461" s="6" t="s">
        <v>1193</v>
      </c>
      <c r="B461" s="6" t="s">
        <v>140</v>
      </c>
      <c r="C461" s="6"/>
      <c r="D461" s="1" t="str">
        <f>+VLOOKUP(B461,'Maestro Personas'!$B$7:$C$105,2,0)</f>
        <v>20.075.693-2</v>
      </c>
      <c r="E461" s="1" t="str">
        <f>+VLOOKUP(B461,'Maestro Personas'!$B$7:$W$105,22,0)</f>
        <v>Felipe</v>
      </c>
      <c r="F461" s="1" t="str">
        <f>+VLOOKUP(B461,'Maestro Personas'!$B$7:$G$105,6,0)</f>
        <v>Ejecutivo/a de Cuentas - Digital</v>
      </c>
    </row>
    <row r="462" ht="15.75" customHeight="1">
      <c r="A462" s="6" t="s">
        <v>1193</v>
      </c>
      <c r="B462" s="6" t="s">
        <v>352</v>
      </c>
      <c r="C462" s="6"/>
      <c r="D462" s="1" t="str">
        <f>+VLOOKUP(B462,'Maestro Personas'!$B$7:$C$105,2,0)</f>
        <v>15.642.655-5</v>
      </c>
      <c r="E462" s="1" t="str">
        <f>+VLOOKUP(B462,'Maestro Personas'!$B$7:$W$105,22,0)</f>
        <v>Maca</v>
      </c>
      <c r="F462" s="1" t="str">
        <f>+VLOOKUP(B462,'Maestro Personas'!$B$7:$G$105,6,0)</f>
        <v>Director/a - Comunicaciones</v>
      </c>
    </row>
    <row r="463" ht="15.75" customHeight="1">
      <c r="A463" s="6" t="s">
        <v>1193</v>
      </c>
      <c r="B463" s="6" t="s">
        <v>374</v>
      </c>
      <c r="C463" s="6"/>
      <c r="D463" s="1" t="str">
        <f>+VLOOKUP(B463,'Maestro Personas'!$B$7:$C$105,2,0)</f>
        <v>11.625.604-5</v>
      </c>
      <c r="E463" s="1" t="str">
        <f>+VLOOKUP(B463,'Maestro Personas'!$B$7:$W$105,22,0)</f>
        <v>Carlos</v>
      </c>
      <c r="F463" s="1" t="str">
        <f>+VLOOKUP(B463,'Maestro Personas'!$B$7:$G$105,6,0)</f>
        <v>Director/a Senior - Comunicaciones</v>
      </c>
    </row>
    <row r="464" ht="15.75" customHeight="1">
      <c r="A464" s="6" t="s">
        <v>1194</v>
      </c>
      <c r="B464" s="6" t="s">
        <v>73</v>
      </c>
      <c r="C464" s="6"/>
      <c r="D464" s="1" t="str">
        <f>+VLOOKUP(B464,'Maestro Personas'!$B$7:$C$105,2,0)</f>
        <v>16.282.327-2</v>
      </c>
      <c r="E464" s="1" t="str">
        <f>+VLOOKUP(B464,'Maestro Personas'!$B$7:$W$105,22,0)</f>
        <v>Jose, JM</v>
      </c>
      <c r="F464" s="1" t="str">
        <f>+VLOOKUP(B464,'Maestro Personas'!$B$7:$G$105,6,0)</f>
        <v>Socio Área Digital</v>
      </c>
    </row>
    <row r="465" ht="15.75" customHeight="1">
      <c r="A465" s="6" t="s">
        <v>1194</v>
      </c>
      <c r="B465" s="6" t="s">
        <v>419</v>
      </c>
      <c r="C465" s="6"/>
      <c r="D465" s="1" t="str">
        <f>+VLOOKUP(B465,'Maestro Personas'!$B$7:$C$105,2,0)</f>
        <v>18.537.942-6</v>
      </c>
      <c r="E465" s="1" t="str">
        <f>+VLOOKUP(B465,'Maestro Personas'!$B$7:$W$105,22,0)</f>
        <v>Naty</v>
      </c>
      <c r="F465" s="1" t="str">
        <f>+VLOOKUP(B465,'Maestro Personas'!$B$7:$G$105,6,0)</f>
        <v>Consultores Senior - Digital</v>
      </c>
    </row>
    <row r="466" ht="15.75" customHeight="1">
      <c r="A466" s="6" t="s">
        <v>1194</v>
      </c>
      <c r="B466" s="6" t="s">
        <v>309</v>
      </c>
      <c r="C466" s="6"/>
      <c r="D466" s="1" t="str">
        <f>+VLOOKUP(B466,'Maestro Personas'!$B$7:$C$105,2,0)</f>
        <v>15.720.094-1</v>
      </c>
      <c r="E466" s="1" t="str">
        <f>+VLOOKUP(B466,'Maestro Personas'!$B$7:$W$105,22,0)</f>
        <v>Marco</v>
      </c>
      <c r="F466" s="1" t="str">
        <f>+VLOOKUP(B466,'Maestro Personas'!$B$7:$G$105,6,0)</f>
        <v>Director - Digital</v>
      </c>
    </row>
    <row r="467" ht="15.75" customHeight="1">
      <c r="A467" s="6" t="s">
        <v>1194</v>
      </c>
      <c r="B467" s="6" t="s">
        <v>367</v>
      </c>
      <c r="C467" s="6"/>
      <c r="D467" s="1" t="str">
        <f>+VLOOKUP(B467,'Maestro Personas'!$B$7:$C$105,2,0)</f>
        <v>20.833.546-4</v>
      </c>
      <c r="E467" s="1" t="str">
        <f>+VLOOKUP(B467,'Maestro Personas'!$B$7:$W$105,22,0)</f>
        <v>Paula</v>
      </c>
      <c r="F467" s="1" t="str">
        <f>+VLOOKUP(B467,'Maestro Personas'!$B$7:$G$105,6,0)</f>
        <v>Consultores - Digital</v>
      </c>
    </row>
    <row r="468" ht="15.75" customHeight="1">
      <c r="A468" s="6" t="s">
        <v>1194</v>
      </c>
      <c r="B468" s="6" t="s">
        <v>445</v>
      </c>
      <c r="C468" s="6"/>
      <c r="D468" s="1" t="str">
        <f>+VLOOKUP(B468,'Maestro Personas'!$B$7:$C$105,2,0)</f>
        <v>18.497.525-4</v>
      </c>
      <c r="E468" s="1" t="str">
        <f>+VLOOKUP(B468,'Maestro Personas'!$B$7:$W$105,22,0)</f>
        <v>Javi</v>
      </c>
      <c r="F468" s="1" t="str">
        <f>+VLOOKUP(B468,'Maestro Personas'!$B$7:$G$105,6,0)</f>
        <v>Ejecutivo/a de Cuentas - Digital</v>
      </c>
    </row>
    <row r="469" ht="15.75" customHeight="1">
      <c r="A469" s="6" t="s">
        <v>1195</v>
      </c>
      <c r="B469" s="6" t="s">
        <v>66</v>
      </c>
      <c r="C469" s="6"/>
      <c r="D469" s="1" t="str">
        <f>+VLOOKUP(B469,'Maestro Personas'!$B$7:$C$105,2,0)</f>
        <v>10.818.275-k</v>
      </c>
      <c r="E469" s="1" t="str">
        <f>+VLOOKUP(B469,'Maestro Personas'!$B$7:$W$105,22,0)</f>
        <v>Felipe</v>
      </c>
      <c r="F469" s="1" t="str">
        <f>+VLOOKUP(B469,'Maestro Personas'!$B$7:$G$105,6,0)</f>
        <v>Socio</v>
      </c>
    </row>
    <row r="470" ht="15.75" customHeight="1">
      <c r="A470" s="6" t="s">
        <v>1195</v>
      </c>
      <c r="B470" s="6" t="s">
        <v>195</v>
      </c>
      <c r="C470" s="6"/>
      <c r="D470" s="1" t="str">
        <f>+VLOOKUP(B470,'Maestro Personas'!$B$7:$C$105,2,0)</f>
        <v>17.029.247-2</v>
      </c>
      <c r="E470" s="1" t="str">
        <f>+VLOOKUP(B470,'Maestro Personas'!$B$7:$W$105,22,0)</f>
        <v>Felipe</v>
      </c>
      <c r="F470" s="1" t="str">
        <f>+VLOOKUP(B470,'Maestro Personas'!$B$7:$G$105,6,0)</f>
        <v>Consultores - Digital</v>
      </c>
    </row>
    <row r="471" ht="15.75" customHeight="1">
      <c r="A471" s="6" t="s">
        <v>1195</v>
      </c>
      <c r="B471" s="6" t="s">
        <v>229</v>
      </c>
      <c r="C471" s="6"/>
      <c r="D471" s="1" t="str">
        <f>+VLOOKUP(B471,'Maestro Personas'!$B$7:$C$105,2,0)</f>
        <v>15.770.775-2</v>
      </c>
      <c r="E471" s="1" t="str">
        <f>+VLOOKUP(B471,'Maestro Personas'!$B$7:$W$105,22,0)</f>
        <v/>
      </c>
      <c r="F471" s="1" t="str">
        <f>+VLOOKUP(B471,'Maestro Personas'!$B$7:$G$105,6,0)</f>
        <v>Director/a - Comunicaciones</v>
      </c>
    </row>
    <row r="472" ht="15.75" customHeight="1">
      <c r="A472" s="6" t="s">
        <v>1195</v>
      </c>
      <c r="B472" s="6" t="s">
        <v>419</v>
      </c>
      <c r="C472" s="6"/>
      <c r="D472" s="1" t="str">
        <f>+VLOOKUP(B472,'Maestro Personas'!$B$7:$C$105,2,0)</f>
        <v>18.537.942-6</v>
      </c>
      <c r="E472" s="1" t="str">
        <f>+VLOOKUP(B472,'Maestro Personas'!$B$7:$W$105,22,0)</f>
        <v>Naty</v>
      </c>
      <c r="F472" s="1" t="str">
        <f>+VLOOKUP(B472,'Maestro Personas'!$B$7:$G$105,6,0)</f>
        <v>Consultores Senior - Digital</v>
      </c>
    </row>
    <row r="473" ht="15.75" customHeight="1">
      <c r="A473" s="6" t="s">
        <v>1195</v>
      </c>
      <c r="B473" s="6" t="s">
        <v>309</v>
      </c>
      <c r="C473" s="6"/>
      <c r="D473" s="1" t="str">
        <f>+VLOOKUP(B473,'Maestro Personas'!$B$7:$C$105,2,0)</f>
        <v>15.720.094-1</v>
      </c>
      <c r="E473" s="1" t="str">
        <f>+VLOOKUP(B473,'Maestro Personas'!$B$7:$W$105,22,0)</f>
        <v>Marco</v>
      </c>
      <c r="F473" s="1" t="str">
        <f>+VLOOKUP(B473,'Maestro Personas'!$B$7:$G$105,6,0)</f>
        <v>Director - Digital</v>
      </c>
    </row>
    <row r="474" ht="15.75" customHeight="1">
      <c r="A474" s="6" t="s">
        <v>1195</v>
      </c>
      <c r="B474" s="6" t="s">
        <v>245</v>
      </c>
      <c r="C474" s="6"/>
      <c r="D474" s="1" t="str">
        <f>+VLOOKUP(B474,'Maestro Personas'!$B$7:$C$105,2,0)</f>
        <v>17.353.392-6</v>
      </c>
      <c r="E474" s="1" t="str">
        <f>+VLOOKUP(B474,'Maestro Personas'!$B$7:$W$105,22,0)</f>
        <v>Taqui</v>
      </c>
      <c r="F474" s="1" t="str">
        <f>+VLOOKUP(B474,'Maestro Personas'!$B$7:$G$105,6,0)</f>
        <v>Consultor/a Senior - Comunicaciones</v>
      </c>
    </row>
    <row r="475" ht="15.75" customHeight="1">
      <c r="A475" s="6" t="s">
        <v>1195</v>
      </c>
      <c r="B475" s="6" t="s">
        <v>358</v>
      </c>
      <c r="C475" s="6"/>
      <c r="D475" s="1" t="str">
        <f>+VLOOKUP(B475,'Maestro Personas'!$B$7:$C$105,2,0)</f>
        <v>15.438.937-7</v>
      </c>
      <c r="E475" s="1" t="str">
        <f>+VLOOKUP(B475,'Maestro Personas'!$B$7:$W$105,22,0)</f>
        <v>Juvenal</v>
      </c>
      <c r="F475" s="1" t="str">
        <f>+VLOOKUP(B475,'Maestro Personas'!$B$7:$G$105,6,0)</f>
        <v>Consultores Senior - Digital</v>
      </c>
    </row>
    <row r="476" ht="15.75" customHeight="1">
      <c r="A476" s="6" t="s">
        <v>1196</v>
      </c>
      <c r="B476" s="6" t="s">
        <v>93</v>
      </c>
      <c r="C476" s="6"/>
      <c r="D476" s="1" t="str">
        <f>+VLOOKUP(B476,'Maestro Personas'!$B$7:$C$105,2,0)</f>
        <v>13.529.165-k</v>
      </c>
      <c r="E476" s="1" t="str">
        <f>+VLOOKUP(B476,'Maestro Personas'!$B$7:$W$105,22,0)</f>
        <v>Juan Andrés</v>
      </c>
      <c r="F476" s="1" t="str">
        <f>+VLOOKUP(B476,'Maestro Personas'!$B$7:$G$105,6,0)</f>
        <v>Director/a - AAPP</v>
      </c>
    </row>
    <row r="477" ht="15.75" customHeight="1">
      <c r="A477" s="6" t="s">
        <v>1196</v>
      </c>
      <c r="B477" s="6" t="s">
        <v>40</v>
      </c>
      <c r="C477" s="6"/>
      <c r="D477" s="1" t="str">
        <f>+VLOOKUP(B477,'Maestro Personas'!$B$7:$C$105,2,0)</f>
        <v>9.766.376-9</v>
      </c>
      <c r="E477" s="1" t="str">
        <f>+VLOOKUP(B477,'Maestro Personas'!$B$7:$W$105,22,0)</f>
        <v>Cristina</v>
      </c>
      <c r="F477" s="1" t="str">
        <f>+VLOOKUP(B477,'Maestro Personas'!$B$7:$G$105,6,0)</f>
        <v>Socio</v>
      </c>
    </row>
    <row r="478" ht="15.75" customHeight="1">
      <c r="A478" s="6" t="s">
        <v>1196</v>
      </c>
      <c r="B478" s="6" t="s">
        <v>59</v>
      </c>
      <c r="C478" s="6"/>
      <c r="D478" s="1" t="str">
        <f>+VLOOKUP(B478,'Maestro Personas'!$B$7:$C$105,2,0)</f>
        <v>8.929.175-5</v>
      </c>
      <c r="E478" s="1" t="str">
        <f>+VLOOKUP(B478,'Maestro Personas'!$B$7:$W$105,22,0)</f>
        <v/>
      </c>
      <c r="F478" s="1" t="str">
        <f>+VLOOKUP(B478,'Maestro Personas'!$B$7:$G$105,6,0)</f>
        <v>Socio Director</v>
      </c>
    </row>
    <row r="479" ht="15.75" customHeight="1">
      <c r="A479" s="6" t="s">
        <v>1197</v>
      </c>
      <c r="B479" s="6" t="s">
        <v>93</v>
      </c>
      <c r="C479" s="6"/>
      <c r="D479" s="1" t="str">
        <f>+VLOOKUP(B479,'Maestro Personas'!$B$7:$C$105,2,0)</f>
        <v>13.529.165-k</v>
      </c>
      <c r="E479" s="1" t="str">
        <f>+VLOOKUP(B479,'Maestro Personas'!$B$7:$W$105,22,0)</f>
        <v>Juan Andrés</v>
      </c>
      <c r="F479" s="1" t="str">
        <f>+VLOOKUP(B479,'Maestro Personas'!$B$7:$G$105,6,0)</f>
        <v>Director/a - AAPP</v>
      </c>
    </row>
    <row r="480" ht="15.75" customHeight="1">
      <c r="A480" s="6" t="s">
        <v>1197</v>
      </c>
      <c r="B480" s="6" t="s">
        <v>40</v>
      </c>
      <c r="C480" s="6"/>
      <c r="D480" s="1" t="str">
        <f>+VLOOKUP(B480,'Maestro Personas'!$B$7:$C$105,2,0)</f>
        <v>9.766.376-9</v>
      </c>
      <c r="E480" s="1" t="str">
        <f>+VLOOKUP(B480,'Maestro Personas'!$B$7:$W$105,22,0)</f>
        <v>Cristina</v>
      </c>
      <c r="F480" s="1" t="str">
        <f>+VLOOKUP(B480,'Maestro Personas'!$B$7:$G$105,6,0)</f>
        <v>Socio</v>
      </c>
    </row>
    <row r="481" ht="15.75" customHeight="1">
      <c r="A481" s="6" t="s">
        <v>1197</v>
      </c>
      <c r="B481" s="6" t="s">
        <v>59</v>
      </c>
      <c r="C481" s="6"/>
      <c r="D481" s="1" t="str">
        <f>+VLOOKUP(B481,'Maestro Personas'!$B$7:$C$105,2,0)</f>
        <v>8.929.175-5</v>
      </c>
      <c r="E481" s="1" t="str">
        <f>+VLOOKUP(B481,'Maestro Personas'!$B$7:$W$105,22,0)</f>
        <v/>
      </c>
      <c r="F481" s="1" t="str">
        <f>+VLOOKUP(B481,'Maestro Personas'!$B$7:$G$105,6,0)</f>
        <v>Socio Director</v>
      </c>
    </row>
    <row r="482" ht="15.75" customHeight="1">
      <c r="A482" s="6" t="s">
        <v>1198</v>
      </c>
      <c r="B482" s="6" t="s">
        <v>160</v>
      </c>
      <c r="C482" s="6"/>
      <c r="D482" s="1" t="str">
        <f>+VLOOKUP(B482,'Maestro Personas'!$B$7:$C$105,2,0)</f>
        <v>17.407.755-k</v>
      </c>
      <c r="E482" s="1" t="str">
        <f>+VLOOKUP(B482,'Maestro Personas'!$B$7:$W$105,22,0)</f>
        <v>Stefano</v>
      </c>
      <c r="F482" s="1" t="str">
        <f>+VLOOKUP(B482,'Maestro Personas'!$B$7:$G$105,6,0)</f>
        <v>Consultor/a Senior - AAPP</v>
      </c>
    </row>
    <row r="483" ht="15.75" customHeight="1">
      <c r="A483" s="6" t="s">
        <v>1198</v>
      </c>
      <c r="B483" s="6" t="s">
        <v>294</v>
      </c>
      <c r="C483" s="6"/>
      <c r="D483" s="1" t="str">
        <f>+VLOOKUP(B483,'Maestro Personas'!$B$7:$C$105,2,0)</f>
        <v>10.059.648-2</v>
      </c>
      <c r="E483" s="1" t="str">
        <f>+VLOOKUP(B483,'Maestro Personas'!$B$7:$W$105,22,0)</f>
        <v/>
      </c>
      <c r="F483" s="1" t="str">
        <f>+VLOOKUP(B483,'Maestro Personas'!$B$7:$G$105,6,0)</f>
        <v>Consultor/a Senior - AAPP</v>
      </c>
    </row>
    <row r="484" ht="15.75" customHeight="1">
      <c r="A484" s="6" t="s">
        <v>1198</v>
      </c>
      <c r="B484" s="6" t="s">
        <v>59</v>
      </c>
      <c r="C484" s="6"/>
      <c r="D484" s="1" t="str">
        <f>+VLOOKUP(B484,'Maestro Personas'!$B$7:$C$105,2,0)</f>
        <v>8.929.175-5</v>
      </c>
      <c r="E484" s="1" t="str">
        <f>+VLOOKUP(B484,'Maestro Personas'!$B$7:$W$105,22,0)</f>
        <v/>
      </c>
      <c r="F484" s="1" t="str">
        <f>+VLOOKUP(B484,'Maestro Personas'!$B$7:$G$105,6,0)</f>
        <v>Socio Director</v>
      </c>
    </row>
    <row r="485" ht="15.75" customHeight="1">
      <c r="A485" s="6" t="s">
        <v>1199</v>
      </c>
      <c r="B485" s="6" t="s">
        <v>93</v>
      </c>
      <c r="C485" s="6"/>
      <c r="D485" s="1" t="str">
        <f>+VLOOKUP(B485,'Maestro Personas'!$B$7:$C$105,2,0)</f>
        <v>13.529.165-k</v>
      </c>
      <c r="E485" s="1" t="str">
        <f>+VLOOKUP(B485,'Maestro Personas'!$B$7:$W$105,22,0)</f>
        <v>Juan Andrés</v>
      </c>
      <c r="F485" s="1" t="str">
        <f>+VLOOKUP(B485,'Maestro Personas'!$B$7:$G$105,6,0)</f>
        <v>Director/a - AAPP</v>
      </c>
    </row>
    <row r="486" ht="15.75" customHeight="1">
      <c r="A486" s="6" t="s">
        <v>1199</v>
      </c>
      <c r="B486" s="6" t="s">
        <v>164</v>
      </c>
      <c r="C486" s="6"/>
      <c r="D486" s="1" t="str">
        <f>+VLOOKUP(B486,'Maestro Personas'!$B$7:$C$105,2,0)</f>
        <v>15.722.742-4</v>
      </c>
      <c r="E486" s="1" t="str">
        <f>+VLOOKUP(B486,'Maestro Personas'!$B$7:$W$105,22,0)</f>
        <v>Robert</v>
      </c>
      <c r="F486" s="1" t="str">
        <f>+VLOOKUP(B486,'Maestro Personas'!$B$7:$G$105,6,0)</f>
        <v>Director/a - AAPP</v>
      </c>
    </row>
    <row r="487" ht="15.75" customHeight="1">
      <c r="A487" s="6" t="s">
        <v>1199</v>
      </c>
      <c r="B487" s="6" t="s">
        <v>83</v>
      </c>
      <c r="C487" s="6"/>
      <c r="D487" s="1" t="str">
        <f>+VLOOKUP(B487,'Maestro Personas'!$B$7:$C$105,2,0)</f>
        <v>14.045.482-6</v>
      </c>
      <c r="E487" s="1" t="str">
        <f>+VLOOKUP(B487,'Maestro Personas'!$B$7:$W$105,22,0)</f>
        <v>Ian</v>
      </c>
      <c r="F487" s="1" t="str">
        <f>+VLOOKUP(B487,'Maestro Personas'!$B$7:$G$105,6,0)</f>
        <v>Socio Director</v>
      </c>
    </row>
    <row r="488" ht="15.75" customHeight="1">
      <c r="A488" s="6" t="s">
        <v>1199</v>
      </c>
      <c r="B488" s="6" t="s">
        <v>42</v>
      </c>
      <c r="C488" s="6"/>
      <c r="D488" s="1" t="str">
        <f>+VLOOKUP(B488,'Maestro Personas'!$B$7:$C$105,2,0)</f>
        <v>19.939.876-8</v>
      </c>
      <c r="E488" s="1" t="str">
        <f>+VLOOKUP(B488,'Maestro Personas'!$B$7:$W$105,22,0)</f>
        <v>Caro</v>
      </c>
      <c r="F488" s="1" t="str">
        <f>+VLOOKUP(B488,'Maestro Personas'!$B$7:$G$105,6,0)</f>
        <v>Ejecutivo/a - AAPP</v>
      </c>
    </row>
    <row r="489" ht="15.75" customHeight="1">
      <c r="A489" s="6" t="s">
        <v>1200</v>
      </c>
      <c r="B489" s="6" t="s">
        <v>199</v>
      </c>
      <c r="C489" s="6"/>
      <c r="D489" s="1" t="str">
        <f>+VLOOKUP(B489,'Maestro Personas'!$B$7:$C$105,2,0)</f>
        <v>12.403.456-6</v>
      </c>
      <c r="E489" s="1" t="str">
        <f>+VLOOKUP(B489,'Maestro Personas'!$B$7:$W$105,22,0)</f>
        <v>Dani</v>
      </c>
      <c r="F489" s="1" t="str">
        <f>+VLOOKUP(B489,'Maestro Personas'!$B$7:$G$105,6,0)</f>
        <v>Socio Director</v>
      </c>
    </row>
    <row r="490" ht="15.75" customHeight="1">
      <c r="A490" s="6" t="s">
        <v>1200</v>
      </c>
      <c r="B490" s="6" t="s">
        <v>234</v>
      </c>
      <c r="C490" s="6"/>
      <c r="D490" s="1" t="str">
        <f>+VLOOKUP(B490,'Maestro Personas'!$B$7:$C$105,2,0)</f>
        <v>18.172.756-k</v>
      </c>
      <c r="E490" s="1" t="str">
        <f>+VLOOKUP(B490,'Maestro Personas'!$B$7:$W$105,22,0)</f>
        <v>Bastián</v>
      </c>
      <c r="F490" s="1" t="str">
        <f>+VLOOKUP(B490,'Maestro Personas'!$B$7:$G$105,6,0)</f>
        <v>Consultor/a - Comunicaciones</v>
      </c>
    </row>
    <row r="491" ht="15.75" customHeight="1">
      <c r="A491" s="6" t="s">
        <v>1200</v>
      </c>
      <c r="B491" s="6" t="s">
        <v>437</v>
      </c>
      <c r="C491" s="6"/>
      <c r="D491" s="1" t="str">
        <f>+VLOOKUP(B491,'Maestro Personas'!$B$7:$C$105,2,0)</f>
        <v>19.246.948-1</v>
      </c>
      <c r="E491" s="1" t="str">
        <f>+VLOOKUP(B491,'Maestro Personas'!$B$7:$W$105,22,0)</f>
        <v>Elisa o Eli</v>
      </c>
      <c r="F491" s="1" t="str">
        <f>+VLOOKUP(B491,'Maestro Personas'!$B$7:$G$105,6,0)</f>
        <v>Ejecutivo/a - Comunicaciones</v>
      </c>
    </row>
    <row r="492" ht="15.75" customHeight="1">
      <c r="A492" s="6" t="s">
        <v>1201</v>
      </c>
      <c r="B492" s="6" t="s">
        <v>40</v>
      </c>
      <c r="C492" s="6"/>
      <c r="D492" s="1" t="str">
        <f>+VLOOKUP(B492,'Maestro Personas'!$B$7:$C$105,2,0)</f>
        <v>9.766.376-9</v>
      </c>
      <c r="E492" s="1" t="str">
        <f>+VLOOKUP(B492,'Maestro Personas'!$B$7:$W$105,22,0)</f>
        <v>Cristina</v>
      </c>
      <c r="F492" s="1" t="str">
        <f>+VLOOKUP(B492,'Maestro Personas'!$B$7:$G$105,6,0)</f>
        <v>Socio</v>
      </c>
    </row>
    <row r="493" ht="15.75" customHeight="1">
      <c r="A493" s="6" t="s">
        <v>1201</v>
      </c>
      <c r="B493" s="6" t="s">
        <v>83</v>
      </c>
      <c r="C493" s="6"/>
      <c r="D493" s="1" t="str">
        <f>+VLOOKUP(B493,'Maestro Personas'!$B$7:$C$105,2,0)</f>
        <v>14.045.482-6</v>
      </c>
      <c r="E493" s="1" t="str">
        <f>+VLOOKUP(B493,'Maestro Personas'!$B$7:$W$105,22,0)</f>
        <v>Ian</v>
      </c>
      <c r="F493" s="1" t="str">
        <f>+VLOOKUP(B493,'Maestro Personas'!$B$7:$G$105,6,0)</f>
        <v>Socio Director</v>
      </c>
    </row>
    <row r="494" ht="15.75" customHeight="1">
      <c r="A494" s="6" t="s">
        <v>1201</v>
      </c>
      <c r="B494" s="6" t="s">
        <v>217</v>
      </c>
      <c r="C494" s="6"/>
      <c r="D494" s="1" t="str">
        <f>+VLOOKUP(B494,'Maestro Personas'!$B$7:$C$105,2,0)</f>
        <v>15.916.585-k</v>
      </c>
      <c r="E494" s="1" t="str">
        <f>+VLOOKUP(B494,'Maestro Personas'!$B$7:$W$105,22,0)</f>
        <v>Rafa</v>
      </c>
      <c r="F494" s="1" t="str">
        <f>+VLOOKUP(B494,'Maestro Personas'!$B$7:$G$105,6,0)</f>
        <v>Consultor/a - AAPP</v>
      </c>
    </row>
    <row r="495" ht="15.75" customHeight="1">
      <c r="A495" s="6" t="s">
        <v>1202</v>
      </c>
      <c r="B495" s="6" t="s">
        <v>288</v>
      </c>
      <c r="C495" s="6"/>
      <c r="D495" s="1" t="str">
        <f>+VLOOKUP(B495,'Maestro Personas'!$B$7:$C$105,2,0)</f>
        <v>20.075.913-3</v>
      </c>
      <c r="E495" s="1" t="str">
        <f>+VLOOKUP(B495,'Maestro Personas'!$B$7:$W$105,22,0)</f>
        <v/>
      </c>
      <c r="F495" s="1" t="str">
        <f>+VLOOKUP(B495,'Maestro Personas'!$B$7:$G$105,6,0)</f>
        <v>Ejecutivo/a - Comunicaciones</v>
      </c>
    </row>
    <row r="496" ht="15.75" customHeight="1">
      <c r="A496" s="6" t="s">
        <v>1202</v>
      </c>
      <c r="B496" s="6" t="s">
        <v>114</v>
      </c>
      <c r="C496" s="6"/>
      <c r="D496" s="1" t="str">
        <f>+VLOOKUP(B496,'Maestro Personas'!$B$7:$C$105,2,0)</f>
        <v>12.019.058-k</v>
      </c>
      <c r="E496" s="1" t="str">
        <f>+VLOOKUP(B496,'Maestro Personas'!$B$7:$W$105,22,0)</f>
        <v/>
      </c>
      <c r="F496" s="1" t="str">
        <f>+VLOOKUP(B496,'Maestro Personas'!$B$7:$G$105,6,0)</f>
        <v>Socio Director</v>
      </c>
    </row>
    <row r="497" ht="15.75" customHeight="1">
      <c r="A497" s="6" t="s">
        <v>1202</v>
      </c>
      <c r="B497" s="6" t="s">
        <v>347</v>
      </c>
      <c r="C497" s="6"/>
      <c r="D497" s="1" t="str">
        <f>+VLOOKUP(B497,'Maestro Personas'!$B$7:$C$105,2,0)</f>
        <v>20.197.117-9</v>
      </c>
      <c r="E497" s="1" t="str">
        <f>+VLOOKUP(B497,'Maestro Personas'!$B$7:$W$105,22,0)</f>
        <v>Vale</v>
      </c>
      <c r="F497" s="1" t="str">
        <f>+VLOOKUP(B497,'Maestro Personas'!$B$7:$G$105,6,0)</f>
        <v>Ejecutivo/a - Comunicaciones</v>
      </c>
    </row>
    <row r="498" ht="15.75" customHeight="1">
      <c r="A498" s="6" t="s">
        <v>1202</v>
      </c>
      <c r="B498" s="6" t="s">
        <v>318</v>
      </c>
      <c r="C498" s="6"/>
      <c r="D498" s="1" t="str">
        <f>+VLOOKUP(B498,'Maestro Personas'!$B$7:$C$105,2,0)</f>
        <v>13.955.054-4</v>
      </c>
      <c r="E498" s="1" t="str">
        <f>+VLOOKUP(B498,'Maestro Personas'!$B$7:$W$105,22,0)</f>
        <v>César</v>
      </c>
      <c r="F498" s="1" t="str">
        <f>+VLOOKUP(B498,'Maestro Personas'!$B$7:$G$105,6,0)</f>
        <v>Director/a Senior - Comunicaciones</v>
      </c>
    </row>
    <row r="499" ht="15.75" customHeight="1">
      <c r="A499" s="6" t="s">
        <v>1203</v>
      </c>
      <c r="B499" s="6" t="s">
        <v>66</v>
      </c>
      <c r="C499" s="6"/>
      <c r="D499" s="1" t="str">
        <f>+VLOOKUP(B499,'Maestro Personas'!$B$7:$C$105,2,0)</f>
        <v>10.818.275-k</v>
      </c>
      <c r="E499" s="1" t="str">
        <f>+VLOOKUP(B499,'Maestro Personas'!$B$7:$W$105,22,0)</f>
        <v>Felipe</v>
      </c>
      <c r="F499" s="1" t="str">
        <f>+VLOOKUP(B499,'Maestro Personas'!$B$7:$G$105,6,0)</f>
        <v>Socio</v>
      </c>
    </row>
    <row r="500" ht="15.75" customHeight="1">
      <c r="A500" s="6" t="s">
        <v>1204</v>
      </c>
      <c r="B500" s="6" t="s">
        <v>199</v>
      </c>
      <c r="C500" s="6"/>
      <c r="D500" s="1" t="str">
        <f>+VLOOKUP(B500,'Maestro Personas'!$B$7:$C$105,2,0)</f>
        <v>12.403.456-6</v>
      </c>
      <c r="E500" s="1" t="str">
        <f>+VLOOKUP(B500,'Maestro Personas'!$B$7:$W$105,22,0)</f>
        <v>Dani</v>
      </c>
      <c r="F500" s="1" t="str">
        <f>+VLOOKUP(B500,'Maestro Personas'!$B$7:$G$105,6,0)</f>
        <v>Socio Director</v>
      </c>
    </row>
    <row r="501" ht="15.75" customHeight="1">
      <c r="A501" s="6" t="s">
        <v>1205</v>
      </c>
      <c r="B501" s="6" t="s">
        <v>93</v>
      </c>
      <c r="C501" s="6"/>
      <c r="D501" s="1" t="str">
        <f>+VLOOKUP(B501,'Maestro Personas'!$B$7:$C$105,2,0)</f>
        <v>13.529.165-k</v>
      </c>
      <c r="E501" s="1" t="str">
        <f>+VLOOKUP(B501,'Maestro Personas'!$B$7:$W$105,22,0)</f>
        <v>Juan Andrés</v>
      </c>
      <c r="F501" s="1" t="str">
        <f>+VLOOKUP(B501,'Maestro Personas'!$B$7:$G$105,6,0)</f>
        <v>Director/a - AAPP</v>
      </c>
    </row>
    <row r="502" ht="15.75" customHeight="1">
      <c r="A502" s="6" t="s">
        <v>1205</v>
      </c>
      <c r="B502" s="6" t="s">
        <v>279</v>
      </c>
      <c r="C502" s="6"/>
      <c r="D502" s="1" t="str">
        <f>+VLOOKUP(B502,'Maestro Personas'!$B$7:$C$105,2,0)</f>
        <v>8.510.437-3</v>
      </c>
      <c r="E502" s="1" t="str">
        <f>+VLOOKUP(B502,'Maestro Personas'!$B$7:$W$105,22,0)</f>
        <v>Pablo</v>
      </c>
      <c r="F502" s="1" t="str">
        <f>+VLOOKUP(B502,'Maestro Personas'!$B$7:$G$105,6,0)</f>
        <v>Consultor/a Senior - Comunicaciones</v>
      </c>
    </row>
    <row r="503" ht="15.75" customHeight="1">
      <c r="A503" s="6" t="s">
        <v>1205</v>
      </c>
      <c r="B503" s="6" t="s">
        <v>61</v>
      </c>
      <c r="C503" s="6"/>
      <c r="D503" s="1" t="str">
        <f>+VLOOKUP(B503,'Maestro Personas'!$B$7:$C$105,2,0)</f>
        <v>12.454.685-0</v>
      </c>
      <c r="E503" s="1" t="str">
        <f>+VLOOKUP(B503,'Maestro Personas'!$B$7:$W$105,22,0)</f>
        <v>Vic</v>
      </c>
      <c r="F503" s="1" t="str">
        <f>+VLOOKUP(B503,'Maestro Personas'!$B$7:$G$105,6,0)</f>
        <v>Socio Director</v>
      </c>
    </row>
    <row r="504" ht="15.75" customHeight="1">
      <c r="A504" s="6" t="s">
        <v>1205</v>
      </c>
      <c r="B504" s="6" t="s">
        <v>213</v>
      </c>
      <c r="C504" s="6"/>
      <c r="D504" s="1" t="str">
        <f>+VLOOKUP(B504,'Maestro Personas'!$B$7:$C$105,2,0)</f>
        <v>19.963.668-5</v>
      </c>
      <c r="E504" s="1" t="str">
        <f>+VLOOKUP(B504,'Maestro Personas'!$B$7:$W$105,22,0)</f>
        <v>Trini</v>
      </c>
      <c r="F504" s="1" t="str">
        <f>+VLOOKUP(B504,'Maestro Personas'!$B$7:$G$105,6,0)</f>
        <v>Ejecutivo/a - Comunicaciones</v>
      </c>
    </row>
    <row r="505" ht="15.75" customHeight="1">
      <c r="A505" s="6" t="s">
        <v>1206</v>
      </c>
      <c r="B505" s="6" t="s">
        <v>160</v>
      </c>
      <c r="C505" s="6"/>
      <c r="D505" s="1" t="str">
        <f>+VLOOKUP(B505,'Maestro Personas'!$B$7:$C$105,2,0)</f>
        <v>17.407.755-k</v>
      </c>
      <c r="E505" s="1" t="str">
        <f>+VLOOKUP(B505,'Maestro Personas'!$B$7:$W$105,22,0)</f>
        <v>Stefano</v>
      </c>
      <c r="F505" s="1" t="str">
        <f>+VLOOKUP(B505,'Maestro Personas'!$B$7:$G$105,6,0)</f>
        <v>Consultor/a Senior - AAPP</v>
      </c>
    </row>
    <row r="506" ht="15.75" customHeight="1">
      <c r="A506" s="6" t="s">
        <v>1206</v>
      </c>
      <c r="B506" s="6" t="s">
        <v>164</v>
      </c>
      <c r="C506" s="6"/>
      <c r="D506" s="1" t="str">
        <f>+VLOOKUP(B506,'Maestro Personas'!$B$7:$C$105,2,0)</f>
        <v>15.722.742-4</v>
      </c>
      <c r="E506" s="1" t="str">
        <f>+VLOOKUP(B506,'Maestro Personas'!$B$7:$W$105,22,0)</f>
        <v>Robert</v>
      </c>
      <c r="F506" s="1" t="str">
        <f>+VLOOKUP(B506,'Maestro Personas'!$B$7:$G$105,6,0)</f>
        <v>Director/a - AAPP</v>
      </c>
    </row>
    <row r="507" ht="15.75" customHeight="1">
      <c r="A507" s="6" t="s">
        <v>1206</v>
      </c>
      <c r="B507" s="6" t="s">
        <v>59</v>
      </c>
      <c r="C507" s="6"/>
      <c r="D507" s="1" t="str">
        <f>+VLOOKUP(B507,'Maestro Personas'!$B$7:$C$105,2,0)</f>
        <v>8.929.175-5</v>
      </c>
      <c r="E507" s="1" t="str">
        <f>+VLOOKUP(B507,'Maestro Personas'!$B$7:$W$105,22,0)</f>
        <v/>
      </c>
      <c r="F507" s="1" t="str">
        <f>+VLOOKUP(B507,'Maestro Personas'!$B$7:$G$105,6,0)</f>
        <v>Socio Director</v>
      </c>
    </row>
    <row r="508" ht="15.75" customHeight="1">
      <c r="A508" s="6" t="s">
        <v>1207</v>
      </c>
      <c r="B508" s="6" t="s">
        <v>288</v>
      </c>
      <c r="C508" s="6"/>
      <c r="D508" s="1" t="str">
        <f>+VLOOKUP(B508,'Maestro Personas'!$B$7:$C$105,2,0)</f>
        <v>20.075.913-3</v>
      </c>
      <c r="E508" s="1" t="str">
        <f>+VLOOKUP(B508,'Maestro Personas'!$B$7:$W$105,22,0)</f>
        <v/>
      </c>
      <c r="F508" s="1" t="str">
        <f>+VLOOKUP(B508,'Maestro Personas'!$B$7:$G$105,6,0)</f>
        <v>Ejecutivo/a - Comunicaciones</v>
      </c>
    </row>
    <row r="509" ht="15.75" customHeight="1">
      <c r="A509" s="6" t="s">
        <v>1207</v>
      </c>
      <c r="B509" s="6" t="s">
        <v>188</v>
      </c>
      <c r="C509" s="6"/>
      <c r="D509" s="1" t="str">
        <f>+VLOOKUP(B509,'Maestro Personas'!$B$7:$C$105,2,0)</f>
        <v>15.332.168-k</v>
      </c>
      <c r="E509" s="1" t="str">
        <f>+VLOOKUP(B509,'Maestro Personas'!$B$7:$W$105,22,0)</f>
        <v/>
      </c>
      <c r="F509" s="1" t="str">
        <f>+VLOOKUP(B509,'Maestro Personas'!$B$7:$G$105,6,0)</f>
        <v>Consultor/a Senior - Comunicaciones</v>
      </c>
    </row>
    <row r="510" ht="15.75" customHeight="1">
      <c r="A510" s="6" t="s">
        <v>1207</v>
      </c>
      <c r="B510" s="6" t="s">
        <v>144</v>
      </c>
      <c r="C510" s="6"/>
      <c r="D510" s="1" t="str">
        <f>+VLOOKUP(B510,'Maestro Personas'!$B$7:$C$105,2,0)</f>
        <v>15.341.075-5</v>
      </c>
      <c r="E510" s="1" t="str">
        <f>+VLOOKUP(B510,'Maestro Personas'!$B$7:$W$105,22,0)</f>
        <v>Lisette</v>
      </c>
      <c r="F510" s="1" t="str">
        <f>+VLOOKUP(B510,'Maestro Personas'!$B$7:$G$105,6,0)</f>
        <v>Socio Director</v>
      </c>
    </row>
    <row r="511" ht="15.75" customHeight="1">
      <c r="A511" s="6" t="s">
        <v>1207</v>
      </c>
      <c r="B511" s="6" t="s">
        <v>234</v>
      </c>
      <c r="C511" s="6"/>
      <c r="D511" s="1" t="str">
        <f>+VLOOKUP(B511,'Maestro Personas'!$B$7:$C$105,2,0)</f>
        <v>18.172.756-k</v>
      </c>
      <c r="E511" s="1" t="str">
        <f>+VLOOKUP(B511,'Maestro Personas'!$B$7:$W$105,22,0)</f>
        <v>Bastián</v>
      </c>
      <c r="F511" s="1" t="str">
        <f>+VLOOKUP(B511,'Maestro Personas'!$B$7:$G$105,6,0)</f>
        <v>Consultor/a - Comunicaciones</v>
      </c>
    </row>
    <row r="512" ht="15.75" customHeight="1">
      <c r="A512" s="6" t="s">
        <v>1208</v>
      </c>
      <c r="B512" s="6" t="s">
        <v>40</v>
      </c>
      <c r="C512" s="6"/>
      <c r="D512" s="1" t="str">
        <f>+VLOOKUP(B512,'Maestro Personas'!$B$7:$C$105,2,0)</f>
        <v>9.766.376-9</v>
      </c>
      <c r="E512" s="1" t="str">
        <f>+VLOOKUP(B512,'Maestro Personas'!$B$7:$W$105,22,0)</f>
        <v>Cristina</v>
      </c>
      <c r="F512" s="1" t="str">
        <f>+VLOOKUP(B512,'Maestro Personas'!$B$7:$G$105,6,0)</f>
        <v>Socio</v>
      </c>
    </row>
    <row r="513" ht="15.75" customHeight="1">
      <c r="A513" s="6" t="s">
        <v>1208</v>
      </c>
      <c r="B513" s="6" t="s">
        <v>61</v>
      </c>
      <c r="C513" s="6"/>
      <c r="D513" s="1" t="str">
        <f>+VLOOKUP(B513,'Maestro Personas'!$B$7:$C$105,2,0)</f>
        <v>12.454.685-0</v>
      </c>
      <c r="E513" s="1" t="str">
        <f>+VLOOKUP(B513,'Maestro Personas'!$B$7:$W$105,22,0)</f>
        <v>Vic</v>
      </c>
      <c r="F513" s="1" t="str">
        <f>+VLOOKUP(B513,'Maestro Personas'!$B$7:$G$105,6,0)</f>
        <v>Socio Director</v>
      </c>
    </row>
    <row r="514" ht="15.75" customHeight="1">
      <c r="A514" s="6" t="s">
        <v>1208</v>
      </c>
      <c r="B514" s="6" t="s">
        <v>188</v>
      </c>
      <c r="C514" s="6"/>
      <c r="D514" s="1" t="str">
        <f>+VLOOKUP(B514,'Maestro Personas'!$B$7:$C$105,2,0)</f>
        <v>15.332.168-k</v>
      </c>
      <c r="E514" s="1" t="str">
        <f>+VLOOKUP(B514,'Maestro Personas'!$B$7:$W$105,22,0)</f>
        <v/>
      </c>
      <c r="F514" s="1" t="str">
        <f>+VLOOKUP(B514,'Maestro Personas'!$B$7:$G$105,6,0)</f>
        <v>Consultor/a Senior - Comunicaciones</v>
      </c>
    </row>
    <row r="515" ht="15.75" customHeight="1">
      <c r="A515" s="6" t="s">
        <v>1208</v>
      </c>
      <c r="B515" s="6" t="s">
        <v>122</v>
      </c>
      <c r="C515" s="6"/>
      <c r="D515" s="1" t="str">
        <f>+VLOOKUP(B515,'Maestro Personas'!$B$7:$C$105,2,0)</f>
        <v>26.965.314-0</v>
      </c>
      <c r="E515" s="1" t="str">
        <f>+VLOOKUP(B515,'Maestro Personas'!$B$7:$W$105,22,0)</f>
        <v>Reimar, Rei</v>
      </c>
      <c r="F515" s="1" t="str">
        <f>+VLOOKUP(B515,'Maestro Personas'!$B$7:$G$105,6,0)</f>
        <v>Ejecutivo/a de Cuentas - Digital</v>
      </c>
    </row>
    <row r="516" ht="15.75" customHeight="1">
      <c r="A516" s="6" t="s">
        <v>1208</v>
      </c>
      <c r="B516" s="6" t="s">
        <v>42</v>
      </c>
      <c r="C516" s="6"/>
      <c r="D516" s="1" t="str">
        <f>+VLOOKUP(B516,'Maestro Personas'!$B$7:$C$105,2,0)</f>
        <v>19.939.876-8</v>
      </c>
      <c r="E516" s="1" t="str">
        <f>+VLOOKUP(B516,'Maestro Personas'!$B$7:$W$105,22,0)</f>
        <v>Caro</v>
      </c>
      <c r="F516" s="1" t="str">
        <f>+VLOOKUP(B516,'Maestro Personas'!$B$7:$G$105,6,0)</f>
        <v>Ejecutivo/a - AAPP</v>
      </c>
    </row>
    <row r="517" ht="15.75" customHeight="1">
      <c r="A517" s="6" t="s">
        <v>1208</v>
      </c>
      <c r="B517" s="6" t="s">
        <v>256</v>
      </c>
      <c r="C517" s="6"/>
      <c r="D517" s="1" t="str">
        <f>+VLOOKUP(B517,'Maestro Personas'!$B$7:$C$105,2,0)</f>
        <v>20.165.428-9</v>
      </c>
      <c r="E517" s="1" t="str">
        <f>+VLOOKUP(B517,'Maestro Personas'!$B$7:$W$105,22,0)</f>
        <v>Jo</v>
      </c>
      <c r="F517" s="1" t="str">
        <f>+VLOOKUP(B517,'Maestro Personas'!$B$7:$G$105,6,0)</f>
        <v>Ejecutivo/a - Comunicaciones</v>
      </c>
    </row>
    <row r="518" ht="15.75" customHeight="1">
      <c r="A518" s="6" t="s">
        <v>1208</v>
      </c>
      <c r="B518" s="6" t="s">
        <v>133</v>
      </c>
      <c r="C518" s="6"/>
      <c r="D518" s="1" t="str">
        <f>+VLOOKUP(B518,'Maestro Personas'!$B$7:$C$105,2,0)</f>
        <v>15.959.738-5</v>
      </c>
      <c r="E518" s="1" t="str">
        <f>+VLOOKUP(B518,'Maestro Personas'!$B$7:$W$105,22,0)</f>
        <v>Javi</v>
      </c>
      <c r="F518" s="1" t="str">
        <f>+VLOOKUP(B518,'Maestro Personas'!$B$7:$G$105,6,0)</f>
        <v>Director/a - AAPP</v>
      </c>
    </row>
    <row r="519" ht="15.75" customHeight="1">
      <c r="A519" s="6" t="s">
        <v>1209</v>
      </c>
      <c r="B519" s="6" t="s">
        <v>395</v>
      </c>
      <c r="C519" s="6"/>
      <c r="D519" s="1" t="str">
        <f>+VLOOKUP(B519,'Maestro Personas'!$B$7:$C$105,2,0)</f>
        <v>18.636.911-4</v>
      </c>
      <c r="E519" s="1" t="str">
        <f>+VLOOKUP(B519,'Maestro Personas'!$B$7:$W$105,22,0)</f>
        <v>Nieves</v>
      </c>
      <c r="F519" s="1" t="str">
        <f>+VLOOKUP(B519,'Maestro Personas'!$B$7:$G$105,6,0)</f>
        <v>Ejecutivo/a - AAPP</v>
      </c>
    </row>
    <row r="520" ht="15.75" customHeight="1">
      <c r="A520" s="6" t="s">
        <v>1209</v>
      </c>
      <c r="B520" s="6" t="s">
        <v>40</v>
      </c>
      <c r="C520" s="6"/>
      <c r="D520" s="1" t="str">
        <f>+VLOOKUP(B520,'Maestro Personas'!$B$7:$C$105,2,0)</f>
        <v>9.766.376-9</v>
      </c>
      <c r="E520" s="1" t="str">
        <f>+VLOOKUP(B520,'Maestro Personas'!$B$7:$W$105,22,0)</f>
        <v>Cristina</v>
      </c>
      <c r="F520" s="1" t="str">
        <f>+VLOOKUP(B520,'Maestro Personas'!$B$7:$G$105,6,0)</f>
        <v>Socio</v>
      </c>
    </row>
    <row r="521" ht="15.75" customHeight="1">
      <c r="A521" s="6" t="s">
        <v>1209</v>
      </c>
      <c r="B521" s="6" t="s">
        <v>203</v>
      </c>
      <c r="C521" s="6"/>
      <c r="D521" s="1" t="str">
        <f>+VLOOKUP(B521,'Maestro Personas'!$B$7:$C$105,2,0)</f>
        <v>8.344.585-8</v>
      </c>
      <c r="E521" s="1" t="str">
        <f>+VLOOKUP(B521,'Maestro Personas'!$B$7:$W$105,22,0)</f>
        <v>Bego</v>
      </c>
      <c r="F521" s="1" t="str">
        <f>+VLOOKUP(B521,'Maestro Personas'!$B$7:$G$105,6,0)</f>
        <v>Socio Director</v>
      </c>
    </row>
    <row r="522" ht="15.75" customHeight="1">
      <c r="A522" s="6" t="s">
        <v>1209</v>
      </c>
      <c r="B522" s="6" t="s">
        <v>279</v>
      </c>
      <c r="C522" s="6"/>
      <c r="D522" s="1" t="str">
        <f>+VLOOKUP(B522,'Maestro Personas'!$B$7:$C$105,2,0)</f>
        <v>8.510.437-3</v>
      </c>
      <c r="E522" s="1" t="str">
        <f>+VLOOKUP(B522,'Maestro Personas'!$B$7:$W$105,22,0)</f>
        <v>Pablo</v>
      </c>
      <c r="F522" s="1" t="str">
        <f>+VLOOKUP(B522,'Maestro Personas'!$B$7:$G$105,6,0)</f>
        <v>Consultor/a Senior - Comunicaciones</v>
      </c>
    </row>
    <row r="523" ht="15.75" customHeight="1">
      <c r="A523" s="6" t="s">
        <v>1209</v>
      </c>
      <c r="B523" s="6" t="s">
        <v>113</v>
      </c>
      <c r="C523" s="6"/>
      <c r="D523" s="1" t="str">
        <f>+VLOOKUP(B523,'Maestro Personas'!$B$7:$C$105,2,0)</f>
        <v>17.950.016-7</v>
      </c>
      <c r="E523" s="1" t="str">
        <f>+VLOOKUP(B523,'Maestro Personas'!$B$7:$W$105,22,0)</f>
        <v>Dani</v>
      </c>
      <c r="F523" s="1" t="str">
        <f>+VLOOKUP(B523,'Maestro Personas'!$B$7:$G$105,6,0)</f>
        <v>Director/a - AAPP</v>
      </c>
    </row>
    <row r="524" ht="15.75" customHeight="1">
      <c r="A524" s="6" t="s">
        <v>1209</v>
      </c>
      <c r="B524" s="6" t="s">
        <v>59</v>
      </c>
      <c r="C524" s="6"/>
      <c r="D524" s="1" t="str">
        <f>+VLOOKUP(B524,'Maestro Personas'!$B$7:$C$105,2,0)</f>
        <v>8.929.175-5</v>
      </c>
      <c r="E524" s="1" t="str">
        <f>+VLOOKUP(B524,'Maestro Personas'!$B$7:$W$105,22,0)</f>
        <v/>
      </c>
      <c r="F524" s="1" t="str">
        <f>+VLOOKUP(B524,'Maestro Personas'!$B$7:$G$105,6,0)</f>
        <v>Socio Director</v>
      </c>
    </row>
    <row r="525" ht="15.75" customHeight="1">
      <c r="A525" s="6" t="s">
        <v>1209</v>
      </c>
      <c r="B525" s="6" t="s">
        <v>151</v>
      </c>
      <c r="C525" s="6"/>
      <c r="D525" s="1" t="str">
        <f>+VLOOKUP(B525,'Maestro Personas'!$B$7:$C$105,2,0)</f>
        <v>14.533.402-0</v>
      </c>
      <c r="E525" s="1" t="str">
        <f>+VLOOKUP(B525,'Maestro Personas'!$B$7:$W$105,22,0)</f>
        <v>Pablo</v>
      </c>
      <c r="F525" s="1" t="str">
        <f>+VLOOKUP(B525,'Maestro Personas'!$B$7:$G$105,6,0)</f>
        <v>Consultor/a Senior - AAPP</v>
      </c>
    </row>
    <row r="526" ht="15.75" customHeight="1">
      <c r="A526" s="6" t="s">
        <v>1209</v>
      </c>
      <c r="B526" s="6" t="s">
        <v>452</v>
      </c>
      <c r="C526" s="6"/>
      <c r="D526" s="1" t="str">
        <f>+VLOOKUP(B526,'Maestro Personas'!$B$7:$C$105,2,0)</f>
        <v>15.433.915-9</v>
      </c>
      <c r="E526" s="1" t="str">
        <f>+VLOOKUP(B526,'Maestro Personas'!$B$7:$W$105,22,0)</f>
        <v>Mauricio</v>
      </c>
      <c r="F526" s="1" t="str">
        <f>+VLOOKUP(B526,'Maestro Personas'!$B$7:$G$105,6,0)</f>
        <v>Consultor/a Senior - Prensa</v>
      </c>
    </row>
    <row r="527" ht="15.75" customHeight="1">
      <c r="A527" s="6" t="s">
        <v>1209</v>
      </c>
      <c r="B527" s="6" t="s">
        <v>318</v>
      </c>
      <c r="C527" s="6"/>
      <c r="D527" s="1" t="str">
        <f>+VLOOKUP(B527,'Maestro Personas'!$B$7:$C$105,2,0)</f>
        <v>13.955.054-4</v>
      </c>
      <c r="E527" s="1" t="str">
        <f>+VLOOKUP(B527,'Maestro Personas'!$B$7:$W$105,22,0)</f>
        <v>César</v>
      </c>
      <c r="F527" s="1" t="str">
        <f>+VLOOKUP(B527,'Maestro Personas'!$B$7:$G$105,6,0)</f>
        <v>Director/a Senior - Comunicaciones</v>
      </c>
    </row>
    <row r="528" ht="15.75" customHeight="1">
      <c r="A528" s="6" t="s">
        <v>1210</v>
      </c>
      <c r="B528" s="6" t="s">
        <v>66</v>
      </c>
      <c r="C528" s="6"/>
      <c r="D528" s="1" t="str">
        <f>+VLOOKUP(B528,'Maestro Personas'!$B$7:$C$105,2,0)</f>
        <v>10.818.275-k</v>
      </c>
      <c r="E528" s="1" t="str">
        <f>+VLOOKUP(B528,'Maestro Personas'!$B$7:$W$105,22,0)</f>
        <v>Felipe</v>
      </c>
      <c r="F528" s="1" t="str">
        <f>+VLOOKUP(B528,'Maestro Personas'!$B$7:$G$105,6,0)</f>
        <v>Socio</v>
      </c>
    </row>
    <row r="529" ht="15.75" customHeight="1">
      <c r="A529" s="6" t="s">
        <v>1211</v>
      </c>
      <c r="B529" s="6" t="s">
        <v>140</v>
      </c>
      <c r="C529" s="6"/>
      <c r="D529" s="1" t="str">
        <f>+VLOOKUP(B529,'Maestro Personas'!$B$7:$C$105,2,0)</f>
        <v>20.075.693-2</v>
      </c>
      <c r="E529" s="1" t="str">
        <f>+VLOOKUP(B529,'Maestro Personas'!$B$7:$W$105,22,0)</f>
        <v>Felipe</v>
      </c>
      <c r="F529" s="1" t="str">
        <f>+VLOOKUP(B529,'Maestro Personas'!$B$7:$G$105,6,0)</f>
        <v>Ejecutivo/a de Cuentas - Digital</v>
      </c>
    </row>
    <row r="530" ht="15.75" customHeight="1">
      <c r="A530" s="6" t="s">
        <v>1211</v>
      </c>
      <c r="B530" s="6" t="s">
        <v>66</v>
      </c>
      <c r="C530" s="6"/>
      <c r="D530" s="1" t="str">
        <f>+VLOOKUP(B530,'Maestro Personas'!$B$7:$C$105,2,0)</f>
        <v>10.818.275-k</v>
      </c>
      <c r="E530" s="1" t="str">
        <f>+VLOOKUP(B530,'Maestro Personas'!$B$7:$W$105,22,0)</f>
        <v>Felipe</v>
      </c>
      <c r="F530" s="1" t="str">
        <f>+VLOOKUP(B530,'Maestro Personas'!$B$7:$G$105,6,0)</f>
        <v>Socio</v>
      </c>
    </row>
    <row r="531" ht="15.75" customHeight="1">
      <c r="A531" s="6" t="s">
        <v>1211</v>
      </c>
      <c r="B531" s="6" t="s">
        <v>114</v>
      </c>
      <c r="C531" s="6"/>
      <c r="D531" s="1" t="str">
        <f>+VLOOKUP(B531,'Maestro Personas'!$B$7:$C$105,2,0)</f>
        <v>12.019.058-k</v>
      </c>
      <c r="E531" s="1" t="str">
        <f>+VLOOKUP(B531,'Maestro Personas'!$B$7:$W$105,22,0)</f>
        <v/>
      </c>
      <c r="F531" s="1" t="str">
        <f>+VLOOKUP(B531,'Maestro Personas'!$B$7:$G$105,6,0)</f>
        <v>Socio Director</v>
      </c>
    </row>
    <row r="532" ht="15.75" customHeight="1">
      <c r="A532" s="6" t="s">
        <v>1212</v>
      </c>
      <c r="B532" s="6" t="s">
        <v>403</v>
      </c>
      <c r="C532" s="6"/>
      <c r="D532" s="1" t="str">
        <f>+VLOOKUP(B532,'Maestro Personas'!$B$7:$C$105,2,0)</f>
        <v>16.468.441-5</v>
      </c>
      <c r="E532" s="1" t="str">
        <f>+VLOOKUP(B532,'Maestro Personas'!$B$7:$W$105,22,0)</f>
        <v>Romi</v>
      </c>
      <c r="F532" s="1" t="str">
        <f>+VLOOKUP(B532,'Maestro Personas'!$B$7:$G$105,6,0)</f>
        <v>Director/a - Comunicaciones</v>
      </c>
    </row>
    <row r="533" ht="15.75" customHeight="1">
      <c r="A533" s="6" t="s">
        <v>1212</v>
      </c>
      <c r="B533" s="6" t="s">
        <v>455</v>
      </c>
      <c r="C533" s="6"/>
      <c r="D533" s="1" t="str">
        <f>+VLOOKUP(B533,'Maestro Personas'!$B$7:$C$105,2,0)</f>
        <v>17.037.273-5</v>
      </c>
      <c r="E533" s="1" t="str">
        <f>+VLOOKUP(B533,'Maestro Personas'!$B$7:$W$105,22,0)</f>
        <v>Cami</v>
      </c>
      <c r="F533" s="1" t="str">
        <f>+VLOOKUP(B533,'Maestro Personas'!$B$7:$G$105,6,0)</f>
        <v>Consultor/a - Comunicaciones</v>
      </c>
    </row>
    <row r="534" ht="15.75" customHeight="1">
      <c r="A534" s="6" t="s">
        <v>1212</v>
      </c>
      <c r="B534" s="6" t="s">
        <v>183</v>
      </c>
      <c r="C534" s="6"/>
      <c r="D534" s="1" t="str">
        <f>+VLOOKUP(B534,'Maestro Personas'!$B$7:$C$105,2,0)</f>
        <v>26.054.812-3</v>
      </c>
      <c r="E534" s="1" t="str">
        <f>+VLOOKUP(B534,'Maestro Personas'!$B$7:$W$105,22,0)</f>
        <v>Martín</v>
      </c>
      <c r="F534" s="1" t="str">
        <f>+VLOOKUP(B534,'Maestro Personas'!$B$7:$G$105,6,0)</f>
        <v>Director Senior- Digital</v>
      </c>
    </row>
    <row r="535" ht="15.75" customHeight="1">
      <c r="A535" s="6" t="s">
        <v>1212</v>
      </c>
      <c r="B535" s="6" t="s">
        <v>40</v>
      </c>
      <c r="C535" s="6"/>
      <c r="D535" s="1" t="str">
        <f>+VLOOKUP(B535,'Maestro Personas'!$B$7:$C$105,2,0)</f>
        <v>9.766.376-9</v>
      </c>
      <c r="E535" s="1" t="str">
        <f>+VLOOKUP(B535,'Maestro Personas'!$B$7:$W$105,22,0)</f>
        <v>Cristina</v>
      </c>
      <c r="F535" s="1" t="str">
        <f>+VLOOKUP(B535,'Maestro Personas'!$B$7:$G$105,6,0)</f>
        <v>Socio</v>
      </c>
    </row>
    <row r="536" ht="15.75" customHeight="1">
      <c r="A536" s="6" t="s">
        <v>1212</v>
      </c>
      <c r="B536" s="6" t="s">
        <v>131</v>
      </c>
      <c r="C536" s="6"/>
      <c r="D536" s="1" t="str">
        <f>+VLOOKUP(B536,'Maestro Personas'!$B$7:$C$105,2,0)</f>
        <v>19.293.473-7</v>
      </c>
      <c r="E536" s="1" t="str">
        <f>+VLOOKUP(B536,'Maestro Personas'!$B$7:$W$105,22,0)</f>
        <v>Martina</v>
      </c>
      <c r="F536" s="1" t="str">
        <f>+VLOOKUP(B536,'Maestro Personas'!$B$7:$G$105,6,0)</f>
        <v>Consultor/a - Comunicaciones</v>
      </c>
    </row>
    <row r="537" ht="15.75" customHeight="1">
      <c r="A537" s="6" t="s">
        <v>1212</v>
      </c>
      <c r="B537" s="6" t="s">
        <v>459</v>
      </c>
      <c r="C537" s="6"/>
      <c r="D537" s="1" t="str">
        <f>+VLOOKUP(B537,'Maestro Personas'!$B$7:$C$105,2,0)</f>
        <v>17.701.415-k</v>
      </c>
      <c r="E537" s="1" t="str">
        <f>+VLOOKUP(B537,'Maestro Personas'!$B$7:$W$105,22,0)</f>
        <v>Lore</v>
      </c>
      <c r="F537" s="1" t="str">
        <f>+VLOOKUP(B537,'Maestro Personas'!$B$7:$G$105,6,0)</f>
        <v>Consultores Senior - Digital</v>
      </c>
    </row>
    <row r="538" ht="15.75" customHeight="1">
      <c r="A538" s="6" t="s">
        <v>1212</v>
      </c>
      <c r="B538" s="6" t="s">
        <v>288</v>
      </c>
      <c r="C538" s="6"/>
      <c r="D538" s="1" t="str">
        <f>+VLOOKUP(B538,'Maestro Personas'!$B$7:$C$105,2,0)</f>
        <v>20.075.913-3</v>
      </c>
      <c r="E538" s="1" t="str">
        <f>+VLOOKUP(B538,'Maestro Personas'!$B$7:$W$105,22,0)</f>
        <v/>
      </c>
      <c r="F538" s="1" t="str">
        <f>+VLOOKUP(B538,'Maestro Personas'!$B$7:$G$105,6,0)</f>
        <v>Ejecutivo/a - Comunicaciones</v>
      </c>
    </row>
    <row r="539" ht="15.75" customHeight="1">
      <c r="A539" s="6" t="s">
        <v>1212</v>
      </c>
      <c r="B539" s="6" t="s">
        <v>199</v>
      </c>
      <c r="C539" s="6"/>
      <c r="D539" s="1" t="str">
        <f>+VLOOKUP(B539,'Maestro Personas'!$B$7:$C$105,2,0)</f>
        <v>12.403.456-6</v>
      </c>
      <c r="E539" s="1" t="str">
        <f>+VLOOKUP(B539,'Maestro Personas'!$B$7:$W$105,22,0)</f>
        <v>Dani</v>
      </c>
      <c r="F539" s="1" t="str">
        <f>+VLOOKUP(B539,'Maestro Personas'!$B$7:$G$105,6,0)</f>
        <v>Socio Director</v>
      </c>
    </row>
    <row r="540" ht="15.75" customHeight="1">
      <c r="A540" s="6" t="s">
        <v>1212</v>
      </c>
      <c r="B540" s="6" t="s">
        <v>83</v>
      </c>
      <c r="C540" s="6"/>
      <c r="D540" s="1" t="str">
        <f>+VLOOKUP(B540,'Maestro Personas'!$B$7:$C$105,2,0)</f>
        <v>14.045.482-6</v>
      </c>
      <c r="E540" s="1" t="str">
        <f>+VLOOKUP(B540,'Maestro Personas'!$B$7:$W$105,22,0)</f>
        <v>Ian</v>
      </c>
      <c r="F540" s="1" t="str">
        <f>+VLOOKUP(B540,'Maestro Personas'!$B$7:$G$105,6,0)</f>
        <v>Socio Director</v>
      </c>
    </row>
    <row r="541" ht="15.75" customHeight="1">
      <c r="A541" s="6" t="s">
        <v>1212</v>
      </c>
      <c r="B541" s="6" t="s">
        <v>217</v>
      </c>
      <c r="C541" s="6"/>
      <c r="D541" s="1" t="str">
        <f>+VLOOKUP(B541,'Maestro Personas'!$B$7:$C$105,2,0)</f>
        <v>15.916.585-k</v>
      </c>
      <c r="E541" s="1" t="str">
        <f>+VLOOKUP(B541,'Maestro Personas'!$B$7:$W$105,22,0)</f>
        <v>Rafa</v>
      </c>
      <c r="F541" s="1" t="str">
        <f>+VLOOKUP(B541,'Maestro Personas'!$B$7:$G$105,6,0)</f>
        <v>Consultor/a - AAPP</v>
      </c>
    </row>
    <row r="542" ht="15.75" customHeight="1">
      <c r="A542" s="6" t="s">
        <v>1212</v>
      </c>
      <c r="B542" s="6" t="s">
        <v>347</v>
      </c>
      <c r="C542" s="6"/>
      <c r="D542" s="1" t="str">
        <f>+VLOOKUP(B542,'Maestro Personas'!$B$7:$C$105,2,0)</f>
        <v>20.197.117-9</v>
      </c>
      <c r="E542" s="1" t="str">
        <f>+VLOOKUP(B542,'Maestro Personas'!$B$7:$W$105,22,0)</f>
        <v>Vale</v>
      </c>
      <c r="F542" s="1" t="str">
        <f>+VLOOKUP(B542,'Maestro Personas'!$B$7:$G$105,6,0)</f>
        <v>Ejecutivo/a - Comunicaciones</v>
      </c>
    </row>
    <row r="543" ht="15.75" customHeight="1">
      <c r="A543" s="6" t="s">
        <v>1212</v>
      </c>
      <c r="B543" s="6" t="s">
        <v>263</v>
      </c>
      <c r="C543" s="6"/>
      <c r="D543" s="1" t="str">
        <f>+VLOOKUP(B543,'Maestro Personas'!$B$7:$C$105,2,0)</f>
        <v>11.709.203-8</v>
      </c>
      <c r="E543" s="1" t="str">
        <f>+VLOOKUP(B543,'Maestro Personas'!$B$7:$W$105,22,0)</f>
        <v>Claudio</v>
      </c>
      <c r="F543" s="1" t="str">
        <f>+VLOOKUP(B543,'Maestro Personas'!$B$7:$G$105,6,0)</f>
        <v>Consultor/a Senior - AAPP</v>
      </c>
    </row>
    <row r="544" ht="15.75" customHeight="1">
      <c r="A544" s="6" t="s">
        <v>1212</v>
      </c>
      <c r="B544" s="6" t="s">
        <v>358</v>
      </c>
      <c r="C544" s="6"/>
      <c r="D544" s="1" t="str">
        <f>+VLOOKUP(B544,'Maestro Personas'!$B$7:$C$105,2,0)</f>
        <v>15.438.937-7</v>
      </c>
      <c r="E544" s="1" t="str">
        <f>+VLOOKUP(B544,'Maestro Personas'!$B$7:$W$105,22,0)</f>
        <v>Juvenal</v>
      </c>
      <c r="F544" s="1" t="str">
        <f>+VLOOKUP(B544,'Maestro Personas'!$B$7:$G$105,6,0)</f>
        <v>Consultores Senior - Digital</v>
      </c>
    </row>
    <row r="545" ht="15.75" customHeight="1">
      <c r="A545" s="6" t="s">
        <v>1212</v>
      </c>
      <c r="B545" s="6" t="s">
        <v>367</v>
      </c>
      <c r="C545" s="6"/>
      <c r="D545" s="1" t="str">
        <f>+VLOOKUP(B545,'Maestro Personas'!$B$7:$C$105,2,0)</f>
        <v>20.833.546-4</v>
      </c>
      <c r="E545" s="1" t="str">
        <f>+VLOOKUP(B545,'Maestro Personas'!$B$7:$W$105,22,0)</f>
        <v>Paula</v>
      </c>
      <c r="F545" s="1" t="str">
        <f>+VLOOKUP(B545,'Maestro Personas'!$B$7:$G$105,6,0)</f>
        <v>Consultores - Digital</v>
      </c>
    </row>
    <row r="546" ht="15.75" customHeight="1">
      <c r="A546" s="6" t="s">
        <v>1212</v>
      </c>
      <c r="B546" s="6" t="s">
        <v>374</v>
      </c>
      <c r="C546" s="6"/>
      <c r="D546" s="1" t="str">
        <f>+VLOOKUP(B546,'Maestro Personas'!$B$7:$C$105,2,0)</f>
        <v>11.625.604-5</v>
      </c>
      <c r="E546" s="1" t="str">
        <f>+VLOOKUP(B546,'Maestro Personas'!$B$7:$W$105,22,0)</f>
        <v>Carlos</v>
      </c>
      <c r="F546" s="1" t="str">
        <f>+VLOOKUP(B546,'Maestro Personas'!$B$7:$G$105,6,0)</f>
        <v>Director/a Senior - Comunicaciones</v>
      </c>
    </row>
    <row r="547" ht="15.75" customHeight="1">
      <c r="A547" s="6" t="s">
        <v>1213</v>
      </c>
      <c r="B547" s="6" t="s">
        <v>61</v>
      </c>
      <c r="C547" s="6"/>
      <c r="D547" s="1" t="str">
        <f>+VLOOKUP(B547,'Maestro Personas'!$B$7:$C$105,2,0)</f>
        <v>12.454.685-0</v>
      </c>
      <c r="E547" s="1" t="str">
        <f>+VLOOKUP(B547,'Maestro Personas'!$B$7:$W$105,22,0)</f>
        <v>Vic</v>
      </c>
      <c r="F547" s="1" t="str">
        <f>+VLOOKUP(B547,'Maestro Personas'!$B$7:$G$105,6,0)</f>
        <v>Socio Director</v>
      </c>
    </row>
    <row r="548" ht="15.75" customHeight="1">
      <c r="A548" s="6" t="s">
        <v>1213</v>
      </c>
      <c r="B548" s="6" t="s">
        <v>188</v>
      </c>
      <c r="C548" s="6"/>
      <c r="D548" s="1" t="str">
        <f>+VLOOKUP(B548,'Maestro Personas'!$B$7:$C$105,2,0)</f>
        <v>15.332.168-k</v>
      </c>
      <c r="E548" s="1" t="str">
        <f>+VLOOKUP(B548,'Maestro Personas'!$B$7:$W$105,22,0)</f>
        <v/>
      </c>
      <c r="F548" s="1" t="str">
        <f>+VLOOKUP(B548,'Maestro Personas'!$B$7:$G$105,6,0)</f>
        <v>Consultor/a Senior - Comunicaciones</v>
      </c>
    </row>
    <row r="549" ht="15.75" customHeight="1">
      <c r="A549" s="6" t="s">
        <v>1213</v>
      </c>
      <c r="B549" s="6" t="s">
        <v>234</v>
      </c>
      <c r="C549" s="6"/>
      <c r="D549" s="1" t="str">
        <f>+VLOOKUP(B549,'Maestro Personas'!$B$7:$C$105,2,0)</f>
        <v>18.172.756-k</v>
      </c>
      <c r="E549" s="1" t="str">
        <f>+VLOOKUP(B549,'Maestro Personas'!$B$7:$W$105,22,0)</f>
        <v>Bastián</v>
      </c>
      <c r="F549" s="1" t="str">
        <f>+VLOOKUP(B549,'Maestro Personas'!$B$7:$G$105,6,0)</f>
        <v>Consultor/a - Comunicaciones</v>
      </c>
    </row>
    <row r="550" ht="15.75" customHeight="1">
      <c r="A550" s="6" t="s">
        <v>1213</v>
      </c>
      <c r="B550" s="6" t="s">
        <v>241</v>
      </c>
      <c r="C550" s="6"/>
      <c r="D550" s="1" t="str">
        <f>+VLOOKUP(B550,'Maestro Personas'!$B$7:$C$105,2,0)</f>
        <v>21.412.373-8</v>
      </c>
      <c r="E550" s="1" t="str">
        <f>+VLOOKUP(B550,'Maestro Personas'!$B$7:$W$105,22,0)</f>
        <v>Fran</v>
      </c>
      <c r="F550" s="1" t="str">
        <f>+VLOOKUP(B550,'Maestro Personas'!$B$7:$G$105,6,0)</f>
        <v>Trainee</v>
      </c>
    </row>
    <row r="551" ht="15.75" customHeight="1">
      <c r="A551" s="6" t="s">
        <v>1213</v>
      </c>
      <c r="B551" s="6" t="s">
        <v>481</v>
      </c>
      <c r="C551" s="6"/>
      <c r="D551" s="1" t="str">
        <f>+VLOOKUP(B551,'Maestro Personas'!$B$7:$C$105,2,0)</f>
        <v>13.038.126-k</v>
      </c>
      <c r="E551" s="1" t="str">
        <f>+VLOOKUP(B551,'Maestro Personas'!$B$7:$W$105,22,0)</f>
        <v>Sandra</v>
      </c>
      <c r="F551" s="1" t="str">
        <f>+VLOOKUP(B551,'Maestro Personas'!$B$7:$G$105,6,0)</f>
        <v>Consultor/a - Prensa</v>
      </c>
    </row>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55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0</v>
      </c>
      <c r="C1" s="1" t="s">
        <v>0</v>
      </c>
    </row>
    <row r="2">
      <c r="A2" s="1" t="s">
        <v>3</v>
      </c>
      <c r="C2" s="1" t="s">
        <v>3</v>
      </c>
    </row>
    <row r="3">
      <c r="A3" s="1" t="s">
        <v>5</v>
      </c>
      <c r="C3" s="1" t="s">
        <v>5</v>
      </c>
    </row>
    <row r="4">
      <c r="A4" s="1" t="s">
        <v>7</v>
      </c>
      <c r="C4" s="1" t="s">
        <v>7</v>
      </c>
    </row>
    <row r="6">
      <c r="A6" s="1" t="s">
        <v>8</v>
      </c>
      <c r="B6" s="1" t="s">
        <v>9</v>
      </c>
      <c r="C6" s="1" t="s">
        <v>8</v>
      </c>
      <c r="D6" s="1" t="s">
        <v>11</v>
      </c>
      <c r="E6" s="1" t="s">
        <v>13</v>
      </c>
      <c r="F6" s="1" t="s">
        <v>14</v>
      </c>
      <c r="G6" s="1" t="s">
        <v>16</v>
      </c>
      <c r="H6" s="1" t="s">
        <v>18</v>
      </c>
      <c r="I6" s="1" t="s">
        <v>20</v>
      </c>
      <c r="J6" s="1" t="s">
        <v>22</v>
      </c>
      <c r="K6" s="1" t="s">
        <v>23</v>
      </c>
      <c r="L6" s="1" t="s">
        <v>26</v>
      </c>
      <c r="M6" s="1" t="s">
        <v>27</v>
      </c>
      <c r="N6" s="1" t="s">
        <v>28</v>
      </c>
      <c r="O6" s="1" t="s">
        <v>29</v>
      </c>
      <c r="P6" s="1" t="s">
        <v>31</v>
      </c>
      <c r="Q6" s="1" t="s">
        <v>32</v>
      </c>
      <c r="R6" s="1" t="s">
        <v>33</v>
      </c>
      <c r="S6" s="1" t="s">
        <v>34</v>
      </c>
      <c r="T6" s="1" t="s">
        <v>36</v>
      </c>
      <c r="U6" s="1" t="s">
        <v>37</v>
      </c>
      <c r="V6" s="1" t="s">
        <v>38</v>
      </c>
      <c r="W6" s="1" t="s">
        <v>39</v>
      </c>
    </row>
    <row r="7">
      <c r="A7" s="1" t="s">
        <v>41</v>
      </c>
      <c r="B7" s="1" t="s">
        <v>42</v>
      </c>
      <c r="C7" s="1" t="s">
        <v>41</v>
      </c>
      <c r="D7" s="1" t="s">
        <v>43</v>
      </c>
      <c r="E7" s="1" t="s">
        <v>44</v>
      </c>
      <c r="F7" s="1" t="s">
        <v>45</v>
      </c>
      <c r="G7" s="1" t="s">
        <v>46</v>
      </c>
      <c r="H7" s="1" t="s">
        <v>47</v>
      </c>
      <c r="I7" s="10">
        <v>35893.0</v>
      </c>
      <c r="J7" s="1" t="s">
        <v>49</v>
      </c>
      <c r="K7" s="1" t="s">
        <v>50</v>
      </c>
      <c r="L7" s="1" t="s">
        <v>51</v>
      </c>
      <c r="M7" s="1" t="s">
        <v>52</v>
      </c>
      <c r="N7" s="1" t="s">
        <v>47</v>
      </c>
      <c r="O7" s="1" t="s">
        <v>47</v>
      </c>
      <c r="P7" s="1" t="s">
        <v>53</v>
      </c>
      <c r="Q7" s="1" t="s">
        <v>54</v>
      </c>
      <c r="R7" s="1" t="s">
        <v>55</v>
      </c>
      <c r="S7" s="1" t="s">
        <v>56</v>
      </c>
      <c r="T7" s="1" t="s">
        <v>57</v>
      </c>
      <c r="W7" s="1" t="s">
        <v>58</v>
      </c>
    </row>
    <row r="8">
      <c r="A8" s="1" t="s">
        <v>60</v>
      </c>
      <c r="B8" s="1" t="s">
        <v>61</v>
      </c>
      <c r="C8" s="1" t="s">
        <v>60</v>
      </c>
      <c r="D8" s="1" t="s">
        <v>63</v>
      </c>
      <c r="E8" s="1" t="s">
        <v>64</v>
      </c>
      <c r="F8" s="1" t="s">
        <v>65</v>
      </c>
      <c r="G8" s="1" t="s">
        <v>67</v>
      </c>
      <c r="H8" s="1" t="s">
        <v>68</v>
      </c>
      <c r="I8" s="10">
        <v>26704.0</v>
      </c>
      <c r="J8" s="1" t="s">
        <v>70</v>
      </c>
      <c r="K8" s="1" t="s">
        <v>71</v>
      </c>
      <c r="L8" s="1" t="s">
        <v>51</v>
      </c>
      <c r="M8" s="1" t="s">
        <v>72</v>
      </c>
      <c r="N8" s="1" t="s">
        <v>68</v>
      </c>
      <c r="O8" s="1" t="s">
        <v>68</v>
      </c>
      <c r="P8" s="1" t="s">
        <v>53</v>
      </c>
      <c r="Q8" s="1" t="s">
        <v>54</v>
      </c>
      <c r="R8" s="1" t="s">
        <v>75</v>
      </c>
      <c r="S8" s="1" t="s">
        <v>76</v>
      </c>
      <c r="T8" s="1" t="s">
        <v>57</v>
      </c>
      <c r="W8" s="1" t="s">
        <v>77</v>
      </c>
    </row>
    <row r="9">
      <c r="A9" s="1" t="s">
        <v>78</v>
      </c>
      <c r="B9" s="1" t="s">
        <v>80</v>
      </c>
      <c r="C9" s="1" t="s">
        <v>78</v>
      </c>
      <c r="D9" s="1" t="s">
        <v>81</v>
      </c>
      <c r="E9" s="1" t="s">
        <v>82</v>
      </c>
      <c r="F9" s="1" t="s">
        <v>84</v>
      </c>
      <c r="G9" s="1" t="s">
        <v>85</v>
      </c>
      <c r="H9" s="1" t="s">
        <v>86</v>
      </c>
      <c r="I9" s="10">
        <v>37366.0</v>
      </c>
      <c r="J9" s="1" t="s">
        <v>88</v>
      </c>
      <c r="K9" s="1" t="s">
        <v>89</v>
      </c>
      <c r="L9" s="1" t="s">
        <v>90</v>
      </c>
      <c r="M9" s="1" t="s">
        <v>91</v>
      </c>
      <c r="N9" s="1" t="s">
        <v>92</v>
      </c>
      <c r="O9" s="1" t="s">
        <v>92</v>
      </c>
      <c r="P9" s="1" t="s">
        <v>94</v>
      </c>
      <c r="Q9" s="1" t="s">
        <v>95</v>
      </c>
      <c r="R9" s="1" t="s">
        <v>96</v>
      </c>
      <c r="S9" s="1" t="s">
        <v>97</v>
      </c>
      <c r="T9" s="1" t="s">
        <v>57</v>
      </c>
      <c r="W9" s="1" t="s">
        <v>98</v>
      </c>
    </row>
    <row r="10">
      <c r="A10" s="1" t="s">
        <v>99</v>
      </c>
      <c r="B10" s="1" t="s">
        <v>100</v>
      </c>
      <c r="C10" s="1" t="s">
        <v>99</v>
      </c>
      <c r="D10" s="1" t="s">
        <v>101</v>
      </c>
      <c r="E10" s="1" t="s">
        <v>102</v>
      </c>
      <c r="F10" s="1" t="s">
        <v>103</v>
      </c>
      <c r="G10" s="1" t="s">
        <v>104</v>
      </c>
      <c r="H10" s="1" t="s">
        <v>86</v>
      </c>
      <c r="I10" s="10">
        <v>34790.0</v>
      </c>
      <c r="J10" s="1" t="s">
        <v>105</v>
      </c>
      <c r="K10" s="1" t="s">
        <v>106</v>
      </c>
      <c r="L10" s="1" t="s">
        <v>51</v>
      </c>
      <c r="M10" s="1" t="s">
        <v>107</v>
      </c>
      <c r="N10" s="1" t="s">
        <v>108</v>
      </c>
      <c r="O10" s="1" t="s">
        <v>108</v>
      </c>
      <c r="P10" s="1" t="s">
        <v>53</v>
      </c>
      <c r="Q10" s="1" t="s">
        <v>54</v>
      </c>
      <c r="R10" s="1" t="s">
        <v>110</v>
      </c>
      <c r="S10" s="1" t="s">
        <v>56</v>
      </c>
      <c r="T10" s="1" t="s">
        <v>57</v>
      </c>
      <c r="W10" s="1" t="s">
        <v>111</v>
      </c>
    </row>
    <row r="11">
      <c r="A11" s="1" t="s">
        <v>112</v>
      </c>
      <c r="B11" s="1" t="s">
        <v>113</v>
      </c>
      <c r="C11" s="1" t="s">
        <v>112</v>
      </c>
      <c r="D11" s="1" t="s">
        <v>115</v>
      </c>
      <c r="E11" s="1" t="s">
        <v>116</v>
      </c>
      <c r="F11" s="1" t="s">
        <v>117</v>
      </c>
      <c r="G11" s="1" t="s">
        <v>118</v>
      </c>
      <c r="H11" s="1" t="s">
        <v>47</v>
      </c>
      <c r="I11" s="10">
        <v>31357.0</v>
      </c>
      <c r="J11" s="1" t="s">
        <v>120</v>
      </c>
      <c r="K11" s="1" t="s">
        <v>121</v>
      </c>
      <c r="L11" s="1" t="s">
        <v>51</v>
      </c>
      <c r="M11" s="1" t="s">
        <v>123</v>
      </c>
      <c r="N11" s="1" t="s">
        <v>47</v>
      </c>
      <c r="O11" s="1" t="s">
        <v>47</v>
      </c>
      <c r="P11" s="1" t="s">
        <v>53</v>
      </c>
      <c r="Q11" s="1" t="s">
        <v>54</v>
      </c>
      <c r="R11" s="1" t="s">
        <v>125</v>
      </c>
      <c r="S11" s="1" t="s">
        <v>126</v>
      </c>
      <c r="T11" s="1" t="s">
        <v>57</v>
      </c>
      <c r="W11" s="1" t="s">
        <v>128</v>
      </c>
    </row>
    <row r="12">
      <c r="A12" s="1" t="s">
        <v>129</v>
      </c>
      <c r="B12" s="1" t="s">
        <v>131</v>
      </c>
      <c r="C12" s="1" t="s">
        <v>129</v>
      </c>
      <c r="D12" s="1" t="s">
        <v>132</v>
      </c>
      <c r="E12" s="1" t="s">
        <v>134</v>
      </c>
      <c r="F12" s="1" t="s">
        <v>135</v>
      </c>
      <c r="G12" s="1" t="s">
        <v>136</v>
      </c>
      <c r="H12" s="1" t="s">
        <v>68</v>
      </c>
      <c r="I12" s="10">
        <v>35335.0</v>
      </c>
      <c r="J12" s="1" t="s">
        <v>138</v>
      </c>
      <c r="K12" s="1" t="s">
        <v>139</v>
      </c>
      <c r="L12" s="1" t="s">
        <v>51</v>
      </c>
      <c r="M12" s="1" t="s">
        <v>141</v>
      </c>
      <c r="N12" s="1" t="s">
        <v>68</v>
      </c>
      <c r="O12" s="1" t="s">
        <v>68</v>
      </c>
      <c r="P12" s="1" t="s">
        <v>94</v>
      </c>
      <c r="Q12" s="1" t="s">
        <v>95</v>
      </c>
      <c r="R12" s="1" t="s">
        <v>143</v>
      </c>
      <c r="S12" s="1" t="s">
        <v>145</v>
      </c>
      <c r="T12" s="1" t="s">
        <v>57</v>
      </c>
      <c r="W12" s="1" t="s">
        <v>147</v>
      </c>
    </row>
    <row r="13">
      <c r="A13" s="1" t="s">
        <v>149</v>
      </c>
      <c r="B13" s="1" t="s">
        <v>150</v>
      </c>
      <c r="C13" s="1" t="s">
        <v>149</v>
      </c>
      <c r="D13" s="1" t="s">
        <v>152</v>
      </c>
      <c r="E13" s="1" t="s">
        <v>153</v>
      </c>
      <c r="F13" s="1" t="s">
        <v>154</v>
      </c>
      <c r="G13" s="1" t="s">
        <v>155</v>
      </c>
      <c r="H13" s="1" t="s">
        <v>47</v>
      </c>
      <c r="I13" s="10">
        <v>35216.0</v>
      </c>
      <c r="J13" s="1" t="s">
        <v>157</v>
      </c>
      <c r="K13" s="1" t="s">
        <v>158</v>
      </c>
      <c r="L13" s="1" t="s">
        <v>51</v>
      </c>
      <c r="M13" s="1" t="s">
        <v>159</v>
      </c>
      <c r="N13" s="1" t="s">
        <v>47</v>
      </c>
      <c r="O13" s="1" t="s">
        <v>47</v>
      </c>
      <c r="P13" s="1" t="s">
        <v>94</v>
      </c>
      <c r="Q13" s="1" t="s">
        <v>95</v>
      </c>
      <c r="R13" s="1" t="s">
        <v>162</v>
      </c>
      <c r="S13" s="1" t="s">
        <v>56</v>
      </c>
      <c r="T13" s="1" t="s">
        <v>163</v>
      </c>
      <c r="W13" s="1" t="s">
        <v>165</v>
      </c>
    </row>
    <row r="14">
      <c r="A14" s="1" t="s">
        <v>166</v>
      </c>
      <c r="B14" s="1" t="s">
        <v>168</v>
      </c>
      <c r="C14" s="1" t="s">
        <v>166</v>
      </c>
      <c r="D14" s="1" t="s">
        <v>169</v>
      </c>
      <c r="E14" s="1" t="s">
        <v>170</v>
      </c>
      <c r="F14" s="1" t="s">
        <v>172</v>
      </c>
      <c r="G14" s="1" t="s">
        <v>173</v>
      </c>
      <c r="H14" s="1" t="s">
        <v>174</v>
      </c>
      <c r="I14" s="10">
        <v>32615.0</v>
      </c>
      <c r="J14" s="1" t="s">
        <v>176</v>
      </c>
      <c r="K14" s="1" t="s">
        <v>177</v>
      </c>
      <c r="L14" s="1" t="s">
        <v>51</v>
      </c>
      <c r="M14" s="1" t="s">
        <v>178</v>
      </c>
      <c r="N14" s="1" t="s">
        <v>179</v>
      </c>
      <c r="O14" s="1" t="s">
        <v>179</v>
      </c>
      <c r="P14" s="1" t="s">
        <v>94</v>
      </c>
      <c r="Q14" s="1" t="s">
        <v>95</v>
      </c>
      <c r="R14" s="1" t="s">
        <v>181</v>
      </c>
      <c r="S14" s="1" t="s">
        <v>182</v>
      </c>
      <c r="T14" s="1" t="s">
        <v>57</v>
      </c>
      <c r="W14" s="1" t="s">
        <v>184</v>
      </c>
    </row>
    <row r="15">
      <c r="A15" s="1" t="s">
        <v>186</v>
      </c>
      <c r="B15" s="1" t="s">
        <v>73</v>
      </c>
      <c r="C15" s="1" t="s">
        <v>186</v>
      </c>
      <c r="D15" s="1" t="s">
        <v>187</v>
      </c>
      <c r="E15" s="1" t="s">
        <v>189</v>
      </c>
      <c r="F15" s="1" t="s">
        <v>190</v>
      </c>
      <c r="G15" s="1" t="s">
        <v>191</v>
      </c>
      <c r="H15" s="1" t="s">
        <v>174</v>
      </c>
      <c r="I15" s="10">
        <v>31661.0</v>
      </c>
      <c r="J15" s="1" t="s">
        <v>193</v>
      </c>
      <c r="K15" s="1" t="s">
        <v>194</v>
      </c>
      <c r="L15" s="1" t="s">
        <v>90</v>
      </c>
      <c r="M15" s="1" t="s">
        <v>196</v>
      </c>
      <c r="N15" s="1" t="s">
        <v>174</v>
      </c>
      <c r="O15" s="1" t="s">
        <v>174</v>
      </c>
      <c r="P15" s="1" t="s">
        <v>53</v>
      </c>
      <c r="Q15" s="1" t="s">
        <v>54</v>
      </c>
      <c r="R15" s="1" t="s">
        <v>198</v>
      </c>
      <c r="S15" s="1" t="s">
        <v>145</v>
      </c>
      <c r="T15" s="1" t="s">
        <v>57</v>
      </c>
      <c r="W15" s="1" t="s">
        <v>200</v>
      </c>
    </row>
    <row r="16">
      <c r="A16" s="1" t="s">
        <v>201</v>
      </c>
      <c r="B16" s="1" t="s">
        <v>203</v>
      </c>
      <c r="C16" s="1" t="s">
        <v>201</v>
      </c>
      <c r="D16" s="1" t="s">
        <v>204</v>
      </c>
      <c r="E16" s="1" t="s">
        <v>205</v>
      </c>
      <c r="F16" s="1" t="s">
        <v>206</v>
      </c>
      <c r="G16" s="1" t="s">
        <v>67</v>
      </c>
      <c r="H16" s="1" t="s">
        <v>68</v>
      </c>
      <c r="I16" s="10">
        <v>23896.0</v>
      </c>
      <c r="J16" s="1" t="s">
        <v>208</v>
      </c>
      <c r="K16" s="1" t="s">
        <v>209</v>
      </c>
      <c r="L16" s="1" t="s">
        <v>51</v>
      </c>
      <c r="M16" s="1" t="s">
        <v>210</v>
      </c>
      <c r="N16" s="1" t="s">
        <v>68</v>
      </c>
      <c r="O16" s="1" t="s">
        <v>68</v>
      </c>
      <c r="P16" s="1" t="s">
        <v>53</v>
      </c>
      <c r="Q16" s="1" t="s">
        <v>54</v>
      </c>
      <c r="R16" s="1" t="s">
        <v>212</v>
      </c>
      <c r="S16" s="1" t="s">
        <v>145</v>
      </c>
      <c r="T16" s="1" t="s">
        <v>57</v>
      </c>
      <c r="W16" s="1" t="s">
        <v>214</v>
      </c>
    </row>
    <row r="17">
      <c r="A17" s="1" t="s">
        <v>216</v>
      </c>
      <c r="B17" s="1" t="s">
        <v>217</v>
      </c>
      <c r="C17" s="1" t="s">
        <v>216</v>
      </c>
      <c r="D17" s="1" t="s">
        <v>218</v>
      </c>
      <c r="E17" s="1" t="s">
        <v>220</v>
      </c>
      <c r="F17" s="1" t="s">
        <v>221</v>
      </c>
      <c r="G17" s="1" t="s">
        <v>155</v>
      </c>
      <c r="H17" s="1" t="s">
        <v>47</v>
      </c>
      <c r="I17" s="10">
        <v>31049.0</v>
      </c>
      <c r="J17" s="1" t="s">
        <v>223</v>
      </c>
      <c r="K17" s="1" t="s">
        <v>224</v>
      </c>
      <c r="L17" s="1" t="s">
        <v>51</v>
      </c>
      <c r="M17" s="1" t="s">
        <v>226</v>
      </c>
      <c r="N17" s="1" t="s">
        <v>47</v>
      </c>
      <c r="O17" s="1" t="s">
        <v>47</v>
      </c>
      <c r="P17" s="1" t="s">
        <v>53</v>
      </c>
      <c r="Q17" s="1" t="s">
        <v>54</v>
      </c>
      <c r="R17" s="1" t="s">
        <v>228</v>
      </c>
      <c r="S17" s="1" t="s">
        <v>76</v>
      </c>
      <c r="T17" s="1" t="s">
        <v>57</v>
      </c>
      <c r="W17" s="1" t="s">
        <v>231</v>
      </c>
    </row>
    <row r="18">
      <c r="A18" s="1" t="s">
        <v>232</v>
      </c>
      <c r="B18" s="1" t="s">
        <v>233</v>
      </c>
      <c r="C18" s="1" t="s">
        <v>232</v>
      </c>
      <c r="D18" s="1" t="s">
        <v>235</v>
      </c>
      <c r="E18" s="1" t="s">
        <v>236</v>
      </c>
      <c r="F18" s="1" t="s">
        <v>237</v>
      </c>
      <c r="G18" s="1" t="s">
        <v>239</v>
      </c>
      <c r="H18" s="1" t="s">
        <v>86</v>
      </c>
      <c r="I18" s="10">
        <v>22926.0</v>
      </c>
      <c r="J18" s="1" t="s">
        <v>240</v>
      </c>
      <c r="K18" s="1" t="s">
        <v>242</v>
      </c>
      <c r="L18" s="1" t="s">
        <v>51</v>
      </c>
      <c r="M18" s="1" t="s">
        <v>244</v>
      </c>
      <c r="N18" s="1" t="s">
        <v>108</v>
      </c>
      <c r="O18" s="1" t="s">
        <v>108</v>
      </c>
      <c r="P18" s="1" t="s">
        <v>53</v>
      </c>
      <c r="Q18" s="1" t="s">
        <v>54</v>
      </c>
      <c r="R18" s="1" t="s">
        <v>246</v>
      </c>
      <c r="S18" s="1" t="s">
        <v>247</v>
      </c>
      <c r="T18" s="1" t="s">
        <v>57</v>
      </c>
      <c r="W18" s="1" t="s">
        <v>235</v>
      </c>
    </row>
    <row r="19">
      <c r="A19" s="1" t="s">
        <v>249</v>
      </c>
      <c r="B19" s="1" t="s">
        <v>250</v>
      </c>
      <c r="C19" s="1" t="s">
        <v>249</v>
      </c>
      <c r="D19" s="1" t="s">
        <v>251</v>
      </c>
      <c r="E19" s="1" t="s">
        <v>254</v>
      </c>
      <c r="F19" s="1" t="s">
        <v>255</v>
      </c>
      <c r="G19" s="1" t="s">
        <v>136</v>
      </c>
      <c r="H19" s="1" t="s">
        <v>68</v>
      </c>
      <c r="I19" s="10">
        <v>21293.0</v>
      </c>
      <c r="J19" s="1" t="s">
        <v>257</v>
      </c>
      <c r="K19" s="1" t="s">
        <v>258</v>
      </c>
      <c r="L19" s="1" t="s">
        <v>90</v>
      </c>
      <c r="M19" s="1" t="s">
        <v>260</v>
      </c>
      <c r="N19" s="1" t="s">
        <v>68</v>
      </c>
      <c r="O19" s="1" t="s">
        <v>68</v>
      </c>
      <c r="P19" s="1" t="s">
        <v>53</v>
      </c>
      <c r="Q19" s="1" t="s">
        <v>54</v>
      </c>
      <c r="R19" s="1" t="s">
        <v>265</v>
      </c>
      <c r="S19" s="1" t="s">
        <v>145</v>
      </c>
      <c r="T19" s="1" t="s">
        <v>57</v>
      </c>
    </row>
    <row r="20">
      <c r="A20" s="1" t="s">
        <v>267</v>
      </c>
      <c r="B20" s="1" t="s">
        <v>268</v>
      </c>
      <c r="C20" s="1" t="s">
        <v>267</v>
      </c>
      <c r="D20" s="1" t="s">
        <v>269</v>
      </c>
      <c r="E20" s="1" t="s">
        <v>270</v>
      </c>
      <c r="F20" s="1" t="s">
        <v>271</v>
      </c>
      <c r="G20" s="1" t="s">
        <v>272</v>
      </c>
      <c r="H20" s="1" t="s">
        <v>273</v>
      </c>
      <c r="I20" s="10">
        <v>27278.0</v>
      </c>
      <c r="J20" s="1" t="s">
        <v>274</v>
      </c>
      <c r="K20" s="1" t="s">
        <v>275</v>
      </c>
      <c r="L20" s="1" t="s">
        <v>51</v>
      </c>
      <c r="M20" s="1" t="s">
        <v>276</v>
      </c>
      <c r="N20" s="1" t="s">
        <v>273</v>
      </c>
      <c r="O20" s="1" t="s">
        <v>273</v>
      </c>
      <c r="P20" s="1" t="s">
        <v>94</v>
      </c>
      <c r="Q20" s="1" t="s">
        <v>95</v>
      </c>
      <c r="R20" s="1" t="s">
        <v>278</v>
      </c>
      <c r="S20" s="1" t="s">
        <v>56</v>
      </c>
      <c r="T20" s="1" t="s">
        <v>57</v>
      </c>
      <c r="W20" s="1" t="s">
        <v>280</v>
      </c>
    </row>
    <row r="21" ht="15.75" customHeight="1">
      <c r="A21" s="1" t="s">
        <v>282</v>
      </c>
      <c r="B21" s="1" t="s">
        <v>283</v>
      </c>
      <c r="C21" s="1" t="s">
        <v>282</v>
      </c>
      <c r="D21" s="1" t="s">
        <v>284</v>
      </c>
      <c r="E21" s="1" t="s">
        <v>285</v>
      </c>
      <c r="F21" s="1" t="s">
        <v>221</v>
      </c>
      <c r="G21" s="1" t="s">
        <v>287</v>
      </c>
      <c r="H21" s="1" t="s">
        <v>86</v>
      </c>
      <c r="I21" s="10">
        <v>28485.0</v>
      </c>
      <c r="J21" s="1" t="s">
        <v>290</v>
      </c>
      <c r="K21" s="1" t="s">
        <v>291</v>
      </c>
      <c r="L21" s="1" t="s">
        <v>51</v>
      </c>
      <c r="M21" s="1" t="s">
        <v>293</v>
      </c>
      <c r="N21" s="1" t="s">
        <v>108</v>
      </c>
      <c r="O21" s="1" t="s">
        <v>108</v>
      </c>
      <c r="P21" s="1" t="s">
        <v>53</v>
      </c>
      <c r="Q21" s="1" t="s">
        <v>54</v>
      </c>
      <c r="R21" s="1" t="s">
        <v>295</v>
      </c>
      <c r="S21" s="1" t="s">
        <v>97</v>
      </c>
      <c r="T21" s="1" t="s">
        <v>57</v>
      </c>
      <c r="W21" s="1" t="s">
        <v>297</v>
      </c>
    </row>
    <row r="22" ht="15.75" customHeight="1">
      <c r="A22" s="1" t="s">
        <v>298</v>
      </c>
      <c r="B22" s="1" t="s">
        <v>266</v>
      </c>
      <c r="C22" s="1" t="s">
        <v>298</v>
      </c>
      <c r="D22" s="1" t="s">
        <v>301</v>
      </c>
      <c r="E22" s="1" t="s">
        <v>302</v>
      </c>
      <c r="F22" s="1" t="s">
        <v>303</v>
      </c>
      <c r="G22" s="1" t="s">
        <v>305</v>
      </c>
      <c r="H22" s="1" t="s">
        <v>68</v>
      </c>
      <c r="I22" s="10">
        <v>34562.0</v>
      </c>
      <c r="J22" s="1" t="s">
        <v>307</v>
      </c>
      <c r="K22" s="1" t="s">
        <v>308</v>
      </c>
      <c r="L22" s="1" t="s">
        <v>51</v>
      </c>
      <c r="M22" s="1" t="s">
        <v>310</v>
      </c>
      <c r="N22" s="1" t="s">
        <v>68</v>
      </c>
      <c r="O22" s="1" t="s">
        <v>68</v>
      </c>
      <c r="P22" s="1" t="s">
        <v>53</v>
      </c>
      <c r="Q22" s="1" t="s">
        <v>54</v>
      </c>
      <c r="R22" s="1" t="s">
        <v>312</v>
      </c>
      <c r="S22" s="1" t="s">
        <v>145</v>
      </c>
      <c r="T22" s="1" t="s">
        <v>57</v>
      </c>
      <c r="W22" s="1" t="s">
        <v>314</v>
      </c>
    </row>
    <row r="23" ht="15.75" customHeight="1">
      <c r="A23" s="1" t="s">
        <v>316</v>
      </c>
      <c r="B23" s="1" t="s">
        <v>317</v>
      </c>
      <c r="C23" s="1" t="s">
        <v>316</v>
      </c>
      <c r="D23" s="1" t="s">
        <v>319</v>
      </c>
      <c r="E23" s="1" t="s">
        <v>320</v>
      </c>
      <c r="F23" s="1" t="s">
        <v>322</v>
      </c>
      <c r="G23" s="1" t="s">
        <v>323</v>
      </c>
      <c r="H23" s="1" t="s">
        <v>86</v>
      </c>
      <c r="I23" s="10">
        <v>32209.0</v>
      </c>
      <c r="J23" s="1" t="s">
        <v>324</v>
      </c>
      <c r="K23" s="1" t="s">
        <v>325</v>
      </c>
      <c r="L23" s="1" t="s">
        <v>90</v>
      </c>
      <c r="M23" s="1" t="s">
        <v>327</v>
      </c>
      <c r="N23" s="1" t="s">
        <v>92</v>
      </c>
      <c r="O23" s="1" t="s">
        <v>92</v>
      </c>
      <c r="P23" s="1" t="s">
        <v>94</v>
      </c>
      <c r="Q23" s="1" t="s">
        <v>95</v>
      </c>
      <c r="R23" s="1" t="s">
        <v>329</v>
      </c>
      <c r="S23" s="1" t="s">
        <v>97</v>
      </c>
      <c r="T23" s="1" t="s">
        <v>57</v>
      </c>
    </row>
    <row r="24" ht="15.75" customHeight="1">
      <c r="A24" s="1" t="s">
        <v>331</v>
      </c>
      <c r="B24" s="1" t="s">
        <v>332</v>
      </c>
      <c r="C24" s="1" t="s">
        <v>331</v>
      </c>
      <c r="D24" s="1" t="s">
        <v>334</v>
      </c>
      <c r="E24" s="1" t="s">
        <v>335</v>
      </c>
      <c r="F24" s="1" t="s">
        <v>336</v>
      </c>
      <c r="G24" s="1" t="s">
        <v>337</v>
      </c>
      <c r="H24" s="1" t="s">
        <v>86</v>
      </c>
      <c r="I24" s="10">
        <v>24377.0</v>
      </c>
      <c r="J24" s="1" t="s">
        <v>340</v>
      </c>
      <c r="K24" s="1" t="s">
        <v>341</v>
      </c>
      <c r="L24" s="1" t="s">
        <v>51</v>
      </c>
      <c r="M24" s="1" t="s">
        <v>342</v>
      </c>
      <c r="N24" s="1" t="s">
        <v>108</v>
      </c>
      <c r="O24" s="1" t="s">
        <v>108</v>
      </c>
      <c r="P24" s="1" t="s">
        <v>94</v>
      </c>
      <c r="Q24" s="1" t="s">
        <v>95</v>
      </c>
      <c r="R24" s="1" t="s">
        <v>345</v>
      </c>
      <c r="S24" s="1" t="s">
        <v>346</v>
      </c>
      <c r="T24" s="1" t="s">
        <v>57</v>
      </c>
      <c r="W24" s="1" t="s">
        <v>348</v>
      </c>
    </row>
    <row r="25" ht="15.75" customHeight="1">
      <c r="A25" s="1" t="s">
        <v>350</v>
      </c>
      <c r="B25" s="1" t="s">
        <v>338</v>
      </c>
      <c r="C25" s="1" t="s">
        <v>350</v>
      </c>
      <c r="D25" s="1" t="s">
        <v>351</v>
      </c>
      <c r="E25" s="1" t="s">
        <v>353</v>
      </c>
      <c r="F25" s="1" t="s">
        <v>354</v>
      </c>
      <c r="G25" s="1" t="s">
        <v>356</v>
      </c>
      <c r="H25" s="1" t="s">
        <v>68</v>
      </c>
      <c r="I25" s="10">
        <v>28315.0</v>
      </c>
      <c r="J25" s="1" t="s">
        <v>357</v>
      </c>
      <c r="K25" s="1" t="s">
        <v>359</v>
      </c>
      <c r="L25" s="1" t="s">
        <v>90</v>
      </c>
      <c r="M25" s="1" t="s">
        <v>360</v>
      </c>
      <c r="N25" s="1" t="s">
        <v>68</v>
      </c>
      <c r="O25" s="1" t="s">
        <v>68</v>
      </c>
      <c r="P25" s="1" t="s">
        <v>53</v>
      </c>
      <c r="Q25" s="1" t="s">
        <v>54</v>
      </c>
      <c r="R25" s="1" t="s">
        <v>363</v>
      </c>
      <c r="S25" s="1" t="s">
        <v>97</v>
      </c>
      <c r="T25" s="1" t="s">
        <v>57</v>
      </c>
    </row>
    <row r="26" ht="15.75" customHeight="1">
      <c r="A26" s="1" t="s">
        <v>365</v>
      </c>
      <c r="B26" s="1" t="s">
        <v>366</v>
      </c>
      <c r="C26" s="1" t="s">
        <v>365</v>
      </c>
      <c r="D26" s="1" t="s">
        <v>368</v>
      </c>
      <c r="E26" s="1" t="s">
        <v>369</v>
      </c>
      <c r="F26" s="1" t="s">
        <v>371</v>
      </c>
      <c r="G26" s="1" t="s">
        <v>372</v>
      </c>
      <c r="H26" s="1" t="s">
        <v>86</v>
      </c>
      <c r="I26" s="10">
        <v>25387.0</v>
      </c>
      <c r="J26" s="1" t="s">
        <v>373</v>
      </c>
      <c r="K26" s="1" t="s">
        <v>375</v>
      </c>
      <c r="L26" s="1" t="s">
        <v>90</v>
      </c>
      <c r="M26" s="1" t="s">
        <v>376</v>
      </c>
      <c r="N26" s="1" t="s">
        <v>378</v>
      </c>
      <c r="O26" s="1" t="s">
        <v>378</v>
      </c>
      <c r="P26" s="1" t="s">
        <v>53</v>
      </c>
      <c r="Q26" s="1" t="s">
        <v>54</v>
      </c>
      <c r="R26" s="1" t="s">
        <v>379</v>
      </c>
      <c r="S26" s="1" t="s">
        <v>380</v>
      </c>
      <c r="T26" s="1" t="s">
        <v>57</v>
      </c>
      <c r="W26" s="1" t="s">
        <v>381</v>
      </c>
    </row>
    <row r="27" ht="15.75" customHeight="1">
      <c r="A27" s="1" t="s">
        <v>382</v>
      </c>
      <c r="B27" s="1" t="s">
        <v>384</v>
      </c>
      <c r="C27" s="1" t="s">
        <v>382</v>
      </c>
      <c r="D27" s="1" t="s">
        <v>385</v>
      </c>
      <c r="E27" s="1" t="s">
        <v>386</v>
      </c>
      <c r="F27" s="1" t="s">
        <v>387</v>
      </c>
      <c r="G27" s="1" t="s">
        <v>388</v>
      </c>
      <c r="H27" s="1" t="s">
        <v>174</v>
      </c>
      <c r="I27" s="10">
        <v>37236.0</v>
      </c>
      <c r="J27" s="1" t="s">
        <v>389</v>
      </c>
      <c r="K27" s="1" t="s">
        <v>390</v>
      </c>
      <c r="L27" s="1" t="s">
        <v>90</v>
      </c>
      <c r="M27" s="1" t="s">
        <v>391</v>
      </c>
      <c r="N27" s="1" t="s">
        <v>392</v>
      </c>
      <c r="O27" s="1" t="s">
        <v>392</v>
      </c>
      <c r="P27" s="1" t="s">
        <v>94</v>
      </c>
      <c r="Q27" s="1" t="s">
        <v>95</v>
      </c>
      <c r="R27" s="1" t="s">
        <v>393</v>
      </c>
      <c r="S27" s="1" t="s">
        <v>394</v>
      </c>
      <c r="T27" s="1" t="s">
        <v>57</v>
      </c>
    </row>
    <row r="28" ht="15.75" customHeight="1">
      <c r="A28" s="1" t="s">
        <v>396</v>
      </c>
      <c r="B28" s="1" t="s">
        <v>397</v>
      </c>
      <c r="C28" s="1" t="s">
        <v>396</v>
      </c>
      <c r="D28" s="1" t="s">
        <v>399</v>
      </c>
      <c r="E28" s="1" t="s">
        <v>400</v>
      </c>
      <c r="F28" s="1" t="s">
        <v>401</v>
      </c>
      <c r="G28" s="1" t="s">
        <v>402</v>
      </c>
      <c r="H28" s="1" t="s">
        <v>86</v>
      </c>
      <c r="I28" s="10">
        <v>29449.0</v>
      </c>
      <c r="J28" s="1" t="s">
        <v>404</v>
      </c>
      <c r="K28" s="1" t="s">
        <v>406</v>
      </c>
      <c r="L28" s="1" t="s">
        <v>90</v>
      </c>
      <c r="M28" s="1" t="s">
        <v>407</v>
      </c>
      <c r="N28" s="1" t="s">
        <v>408</v>
      </c>
      <c r="O28" s="1" t="s">
        <v>408</v>
      </c>
      <c r="P28" s="1" t="s">
        <v>53</v>
      </c>
      <c r="Q28" s="1" t="s">
        <v>54</v>
      </c>
      <c r="R28" s="1" t="s">
        <v>410</v>
      </c>
      <c r="S28" s="1" t="s">
        <v>412</v>
      </c>
      <c r="T28" s="1" t="s">
        <v>57</v>
      </c>
      <c r="W28" s="1" t="s">
        <v>413</v>
      </c>
    </row>
    <row r="29" ht="15.75" customHeight="1">
      <c r="A29" s="1" t="s">
        <v>414</v>
      </c>
      <c r="B29" s="1" t="s">
        <v>114</v>
      </c>
      <c r="C29" s="1" t="s">
        <v>414</v>
      </c>
      <c r="D29" s="1" t="s">
        <v>418</v>
      </c>
      <c r="E29" s="1" t="s">
        <v>420</v>
      </c>
      <c r="F29" s="1" t="s">
        <v>421</v>
      </c>
      <c r="G29" s="1" t="s">
        <v>67</v>
      </c>
      <c r="H29" s="1" t="s">
        <v>68</v>
      </c>
      <c r="I29" s="10">
        <v>26945.0</v>
      </c>
      <c r="J29" s="1" t="s">
        <v>423</v>
      </c>
      <c r="K29" s="1" t="s">
        <v>424</v>
      </c>
      <c r="L29" s="1" t="s">
        <v>90</v>
      </c>
      <c r="M29" s="1" t="s">
        <v>425</v>
      </c>
      <c r="N29" s="1" t="s">
        <v>68</v>
      </c>
      <c r="O29" s="1" t="s">
        <v>68</v>
      </c>
      <c r="P29" s="1" t="s">
        <v>53</v>
      </c>
      <c r="Q29" s="1" t="s">
        <v>54</v>
      </c>
      <c r="R29" s="1" t="s">
        <v>426</v>
      </c>
      <c r="S29" s="1" t="s">
        <v>427</v>
      </c>
      <c r="T29" s="1" t="s">
        <v>57</v>
      </c>
    </row>
    <row r="30" ht="15.75" customHeight="1">
      <c r="A30" s="1" t="s">
        <v>428</v>
      </c>
      <c r="B30" s="1" t="s">
        <v>362</v>
      </c>
      <c r="C30" s="1" t="s">
        <v>428</v>
      </c>
      <c r="D30" s="1" t="s">
        <v>430</v>
      </c>
      <c r="E30" s="1" t="s">
        <v>431</v>
      </c>
      <c r="F30" s="1" t="s">
        <v>432</v>
      </c>
      <c r="G30" s="1" t="s">
        <v>136</v>
      </c>
      <c r="H30" s="1" t="s">
        <v>68</v>
      </c>
      <c r="I30" s="10">
        <v>36085.0</v>
      </c>
      <c r="J30" s="1" t="s">
        <v>434</v>
      </c>
      <c r="K30" s="1" t="s">
        <v>435</v>
      </c>
      <c r="L30" s="1" t="s">
        <v>90</v>
      </c>
      <c r="M30" s="1" t="s">
        <v>436</v>
      </c>
      <c r="N30" s="1" t="s">
        <v>68</v>
      </c>
      <c r="O30" s="1" t="s">
        <v>68</v>
      </c>
      <c r="P30" s="1" t="s">
        <v>94</v>
      </c>
      <c r="Q30" s="1" t="s">
        <v>95</v>
      </c>
      <c r="R30" s="1" t="s">
        <v>439</v>
      </c>
      <c r="S30" s="1" t="s">
        <v>97</v>
      </c>
      <c r="T30" s="1" t="s">
        <v>57</v>
      </c>
      <c r="W30" s="1" t="s">
        <v>441</v>
      </c>
    </row>
    <row r="31" ht="15.75" customHeight="1">
      <c r="A31" s="1" t="s">
        <v>442</v>
      </c>
      <c r="B31" s="1" t="s">
        <v>151</v>
      </c>
      <c r="C31" s="1" t="s">
        <v>442</v>
      </c>
      <c r="D31" s="1" t="s">
        <v>444</v>
      </c>
      <c r="E31" s="1" t="s">
        <v>371</v>
      </c>
      <c r="F31" s="1" t="s">
        <v>446</v>
      </c>
      <c r="G31" s="1" t="s">
        <v>447</v>
      </c>
      <c r="H31" s="1" t="s">
        <v>47</v>
      </c>
      <c r="I31" s="10">
        <v>29060.0</v>
      </c>
      <c r="J31" s="1" t="s">
        <v>449</v>
      </c>
      <c r="K31" s="1" t="s">
        <v>450</v>
      </c>
      <c r="L31" s="1" t="s">
        <v>90</v>
      </c>
      <c r="M31" s="1" t="s">
        <v>451</v>
      </c>
      <c r="N31" s="1" t="s">
        <v>47</v>
      </c>
      <c r="O31" s="1" t="s">
        <v>47</v>
      </c>
      <c r="P31" s="1" t="s">
        <v>53</v>
      </c>
      <c r="Q31" s="1" t="s">
        <v>54</v>
      </c>
      <c r="R31" s="1" t="s">
        <v>454</v>
      </c>
      <c r="S31" s="1" t="s">
        <v>56</v>
      </c>
      <c r="T31" s="1" t="s">
        <v>57</v>
      </c>
      <c r="W31" s="1" t="s">
        <v>456</v>
      </c>
    </row>
    <row r="32" ht="15.75" customHeight="1">
      <c r="A32" s="1" t="s">
        <v>457</v>
      </c>
      <c r="B32" s="1" t="s">
        <v>459</v>
      </c>
      <c r="C32" s="1" t="s">
        <v>457</v>
      </c>
      <c r="D32" s="1" t="s">
        <v>460</v>
      </c>
      <c r="E32" s="1" t="s">
        <v>461</v>
      </c>
      <c r="F32" s="1" t="s">
        <v>371</v>
      </c>
      <c r="G32" s="1" t="s">
        <v>463</v>
      </c>
      <c r="H32" s="1" t="s">
        <v>174</v>
      </c>
      <c r="I32" s="10">
        <v>33344.0</v>
      </c>
      <c r="J32" s="1" t="s">
        <v>465</v>
      </c>
      <c r="K32" s="1" t="s">
        <v>466</v>
      </c>
      <c r="L32" s="1" t="s">
        <v>51</v>
      </c>
      <c r="M32" s="1" t="s">
        <v>467</v>
      </c>
      <c r="N32" s="1" t="s">
        <v>468</v>
      </c>
      <c r="O32" s="1" t="s">
        <v>468</v>
      </c>
      <c r="P32" s="1" t="s">
        <v>94</v>
      </c>
      <c r="Q32" s="1" t="s">
        <v>95</v>
      </c>
      <c r="R32" s="1" t="s">
        <v>470</v>
      </c>
      <c r="S32" s="1" t="s">
        <v>471</v>
      </c>
      <c r="T32" s="1" t="s">
        <v>57</v>
      </c>
      <c r="W32" s="1" t="s">
        <v>472</v>
      </c>
    </row>
    <row r="33" ht="15.75" customHeight="1">
      <c r="A33" s="1" t="s">
        <v>474</v>
      </c>
      <c r="B33" s="1" t="s">
        <v>475</v>
      </c>
      <c r="C33" s="1" t="s">
        <v>474</v>
      </c>
      <c r="D33" s="1" t="s">
        <v>477</v>
      </c>
      <c r="E33" s="1" t="s">
        <v>369</v>
      </c>
      <c r="F33" s="1" t="s">
        <v>479</v>
      </c>
      <c r="G33" s="1" t="s">
        <v>480</v>
      </c>
      <c r="H33" s="1" t="s">
        <v>86</v>
      </c>
      <c r="I33" s="10">
        <v>36261.0</v>
      </c>
      <c r="J33" s="1" t="s">
        <v>482</v>
      </c>
      <c r="K33" s="1" t="s">
        <v>483</v>
      </c>
      <c r="L33" s="1" t="s">
        <v>90</v>
      </c>
      <c r="M33" s="1" t="s">
        <v>485</v>
      </c>
      <c r="N33" s="1" t="s">
        <v>378</v>
      </c>
      <c r="O33" s="1" t="s">
        <v>378</v>
      </c>
      <c r="P33" s="1" t="s">
        <v>94</v>
      </c>
      <c r="Q33" s="1" t="s">
        <v>95</v>
      </c>
      <c r="R33" s="1" t="s">
        <v>488</v>
      </c>
      <c r="S33" s="1" t="s">
        <v>380</v>
      </c>
      <c r="T33" s="1" t="s">
        <v>57</v>
      </c>
      <c r="W33" s="1" t="s">
        <v>489</v>
      </c>
    </row>
    <row r="34" ht="15.75" customHeight="1">
      <c r="A34" s="1" t="s">
        <v>490</v>
      </c>
      <c r="B34" s="1" t="s">
        <v>289</v>
      </c>
      <c r="C34" s="1" t="s">
        <v>490</v>
      </c>
      <c r="D34" s="1" t="s">
        <v>492</v>
      </c>
      <c r="E34" s="1" t="s">
        <v>493</v>
      </c>
      <c r="F34" s="1" t="s">
        <v>495</v>
      </c>
      <c r="G34" s="1" t="s">
        <v>496</v>
      </c>
      <c r="H34" s="1" t="s">
        <v>174</v>
      </c>
      <c r="I34" s="10">
        <v>36437.0</v>
      </c>
      <c r="J34" s="1" t="s">
        <v>498</v>
      </c>
      <c r="K34" s="1" t="s">
        <v>499</v>
      </c>
      <c r="L34" s="1" t="s">
        <v>51</v>
      </c>
      <c r="M34" s="1" t="s">
        <v>500</v>
      </c>
      <c r="N34" s="1" t="s">
        <v>501</v>
      </c>
      <c r="O34" s="1" t="s">
        <v>501</v>
      </c>
      <c r="P34" s="1" t="s">
        <v>94</v>
      </c>
      <c r="Q34" s="1" t="s">
        <v>95</v>
      </c>
      <c r="R34" s="1" t="s">
        <v>503</v>
      </c>
      <c r="S34" s="1" t="s">
        <v>145</v>
      </c>
      <c r="T34" s="1" t="s">
        <v>57</v>
      </c>
      <c r="W34" s="1" t="s">
        <v>504</v>
      </c>
    </row>
    <row r="35" ht="15.75" customHeight="1">
      <c r="A35" s="1" t="s">
        <v>505</v>
      </c>
      <c r="B35" s="1" t="s">
        <v>367</v>
      </c>
      <c r="C35" s="1" t="s">
        <v>505</v>
      </c>
      <c r="D35" s="1" t="s">
        <v>506</v>
      </c>
      <c r="E35" s="1" t="s">
        <v>507</v>
      </c>
      <c r="F35" s="1" t="s">
        <v>508</v>
      </c>
      <c r="G35" s="1" t="s">
        <v>496</v>
      </c>
      <c r="H35" s="1" t="s">
        <v>174</v>
      </c>
      <c r="I35" s="10">
        <v>36852.0</v>
      </c>
      <c r="J35" s="1" t="s">
        <v>509</v>
      </c>
      <c r="K35" s="1" t="s">
        <v>510</v>
      </c>
      <c r="L35" s="1" t="s">
        <v>51</v>
      </c>
      <c r="M35" s="1" t="s">
        <v>511</v>
      </c>
      <c r="N35" s="1" t="s">
        <v>468</v>
      </c>
      <c r="O35" s="1" t="s">
        <v>468</v>
      </c>
      <c r="P35" s="1" t="s">
        <v>94</v>
      </c>
      <c r="Q35" s="1" t="s">
        <v>95</v>
      </c>
      <c r="R35" s="1" t="s">
        <v>512</v>
      </c>
      <c r="S35" s="1" t="s">
        <v>76</v>
      </c>
      <c r="T35" s="1" t="s">
        <v>57</v>
      </c>
      <c r="W35" s="1" t="s">
        <v>513</v>
      </c>
    </row>
    <row r="36" ht="15.75" customHeight="1">
      <c r="A36" s="1" t="s">
        <v>514</v>
      </c>
      <c r="B36" s="1" t="s">
        <v>328</v>
      </c>
      <c r="C36" s="1" t="s">
        <v>514</v>
      </c>
      <c r="D36" s="1" t="s">
        <v>515</v>
      </c>
      <c r="E36" s="1" t="s">
        <v>516</v>
      </c>
      <c r="F36" s="1" t="s">
        <v>517</v>
      </c>
      <c r="G36" s="1" t="s">
        <v>518</v>
      </c>
      <c r="H36" s="1" t="s">
        <v>68</v>
      </c>
      <c r="I36" s="10">
        <v>34934.0</v>
      </c>
      <c r="J36" s="1" t="s">
        <v>519</v>
      </c>
      <c r="K36" s="1" t="s">
        <v>520</v>
      </c>
      <c r="L36" s="1" t="s">
        <v>90</v>
      </c>
      <c r="M36" s="1" t="s">
        <v>521</v>
      </c>
      <c r="N36" s="1" t="s">
        <v>68</v>
      </c>
      <c r="O36" s="1" t="s">
        <v>68</v>
      </c>
      <c r="P36" s="1" t="s">
        <v>94</v>
      </c>
      <c r="Q36" s="1" t="s">
        <v>95</v>
      </c>
      <c r="R36" s="1" t="s">
        <v>522</v>
      </c>
      <c r="S36" s="1" t="s">
        <v>97</v>
      </c>
      <c r="T36" s="1" t="s">
        <v>57</v>
      </c>
      <c r="W36" s="1" t="s">
        <v>523</v>
      </c>
    </row>
    <row r="37" ht="15.75" customHeight="1">
      <c r="A37" s="1" t="s">
        <v>525</v>
      </c>
      <c r="B37" s="1" t="s">
        <v>93</v>
      </c>
      <c r="C37" s="1" t="s">
        <v>525</v>
      </c>
      <c r="D37" s="1" t="s">
        <v>526</v>
      </c>
      <c r="E37" s="1" t="s">
        <v>527</v>
      </c>
      <c r="F37" s="1" t="s">
        <v>528</v>
      </c>
      <c r="G37" s="1" t="s">
        <v>118</v>
      </c>
      <c r="H37" s="1" t="s">
        <v>47</v>
      </c>
      <c r="I37" s="10">
        <v>28914.0</v>
      </c>
      <c r="J37" s="1" t="s">
        <v>529</v>
      </c>
      <c r="K37" s="1" t="s">
        <v>530</v>
      </c>
      <c r="L37" s="1" t="s">
        <v>90</v>
      </c>
      <c r="M37" s="1" t="s">
        <v>531</v>
      </c>
      <c r="N37" s="1" t="s">
        <v>47</v>
      </c>
      <c r="O37" s="1" t="s">
        <v>47</v>
      </c>
      <c r="P37" s="1" t="s">
        <v>53</v>
      </c>
      <c r="Q37" s="1" t="s">
        <v>54</v>
      </c>
      <c r="R37" s="1" t="s">
        <v>532</v>
      </c>
      <c r="S37" s="1" t="s">
        <v>427</v>
      </c>
      <c r="T37" s="1" t="s">
        <v>57</v>
      </c>
      <c r="W37" s="1" t="s">
        <v>533</v>
      </c>
    </row>
    <row r="38" ht="15.75" customHeight="1">
      <c r="A38" s="1" t="s">
        <v>534</v>
      </c>
      <c r="B38" s="1" t="s">
        <v>294</v>
      </c>
      <c r="C38" s="1" t="s">
        <v>534</v>
      </c>
      <c r="D38" s="1" t="s">
        <v>535</v>
      </c>
      <c r="E38" s="1" t="s">
        <v>536</v>
      </c>
      <c r="F38" s="1" t="s">
        <v>537</v>
      </c>
      <c r="G38" s="1" t="s">
        <v>447</v>
      </c>
      <c r="H38" s="1" t="s">
        <v>47</v>
      </c>
      <c r="I38" s="10">
        <v>24534.0</v>
      </c>
      <c r="J38" s="1" t="s">
        <v>538</v>
      </c>
      <c r="K38" s="1" t="s">
        <v>539</v>
      </c>
      <c r="L38" s="1" t="s">
        <v>90</v>
      </c>
      <c r="M38" s="1" t="s">
        <v>540</v>
      </c>
      <c r="N38" s="1" t="s">
        <v>47</v>
      </c>
      <c r="O38" s="1" t="s">
        <v>47</v>
      </c>
      <c r="P38" s="1" t="s">
        <v>53</v>
      </c>
      <c r="Q38" s="1" t="s">
        <v>54</v>
      </c>
      <c r="R38" s="1" t="s">
        <v>541</v>
      </c>
      <c r="S38" s="1" t="s">
        <v>97</v>
      </c>
      <c r="T38" s="1" t="s">
        <v>57</v>
      </c>
    </row>
    <row r="39" ht="15.75" customHeight="1">
      <c r="A39" s="1" t="s">
        <v>542</v>
      </c>
      <c r="B39" s="1" t="s">
        <v>445</v>
      </c>
      <c r="C39" s="1" t="s">
        <v>542</v>
      </c>
      <c r="D39" s="1" t="s">
        <v>543</v>
      </c>
      <c r="E39" s="1" t="s">
        <v>544</v>
      </c>
      <c r="F39" s="1" t="s">
        <v>545</v>
      </c>
      <c r="G39" s="1" t="s">
        <v>173</v>
      </c>
      <c r="H39" s="1" t="s">
        <v>174</v>
      </c>
      <c r="I39" s="10">
        <v>34143.0</v>
      </c>
      <c r="J39" s="1" t="s">
        <v>546</v>
      </c>
      <c r="K39" s="1" t="s">
        <v>547</v>
      </c>
      <c r="L39" s="1" t="s">
        <v>51</v>
      </c>
      <c r="M39" s="1" t="s">
        <v>548</v>
      </c>
      <c r="N39" s="1" t="s">
        <v>501</v>
      </c>
      <c r="O39" s="1" t="s">
        <v>501</v>
      </c>
      <c r="P39" s="1" t="s">
        <v>94</v>
      </c>
      <c r="Q39" s="1" t="s">
        <v>95</v>
      </c>
      <c r="R39" s="1" t="s">
        <v>549</v>
      </c>
      <c r="S39" s="1" t="s">
        <v>394</v>
      </c>
      <c r="T39" s="1" t="s">
        <v>57</v>
      </c>
      <c r="W39" s="1" t="s">
        <v>550</v>
      </c>
    </row>
    <row r="40" ht="15.75" customHeight="1">
      <c r="A40" s="1" t="s">
        <v>551</v>
      </c>
      <c r="B40" s="1" t="s">
        <v>552</v>
      </c>
      <c r="C40" s="1" t="s">
        <v>551</v>
      </c>
      <c r="D40" s="1" t="s">
        <v>553</v>
      </c>
      <c r="E40" s="1" t="s">
        <v>554</v>
      </c>
      <c r="F40" s="1" t="s">
        <v>555</v>
      </c>
      <c r="G40" s="1" t="s">
        <v>556</v>
      </c>
      <c r="H40" s="1" t="s">
        <v>86</v>
      </c>
      <c r="I40" s="10">
        <v>31711.0</v>
      </c>
      <c r="J40" s="1" t="s">
        <v>557</v>
      </c>
      <c r="K40" s="1" t="s">
        <v>558</v>
      </c>
      <c r="L40" s="1" t="s">
        <v>90</v>
      </c>
      <c r="M40" s="1" t="s">
        <v>559</v>
      </c>
      <c r="N40" s="1" t="s">
        <v>108</v>
      </c>
      <c r="O40" s="1" t="s">
        <v>108</v>
      </c>
      <c r="P40" s="1" t="s">
        <v>94</v>
      </c>
      <c r="Q40" s="1" t="s">
        <v>95</v>
      </c>
      <c r="R40" s="1" t="s">
        <v>560</v>
      </c>
      <c r="S40" s="1" t="s">
        <v>561</v>
      </c>
      <c r="T40" s="1" t="s">
        <v>57</v>
      </c>
    </row>
    <row r="41" ht="15.75" customHeight="1">
      <c r="A41" s="1" t="s">
        <v>562</v>
      </c>
      <c r="B41" s="1" t="s">
        <v>409</v>
      </c>
      <c r="C41" s="1" t="s">
        <v>562</v>
      </c>
      <c r="D41" s="1" t="s">
        <v>563</v>
      </c>
      <c r="E41" s="1" t="s">
        <v>564</v>
      </c>
      <c r="F41" s="1" t="s">
        <v>565</v>
      </c>
      <c r="G41" s="1" t="s">
        <v>305</v>
      </c>
      <c r="H41" s="1" t="s">
        <v>68</v>
      </c>
      <c r="I41" s="10">
        <v>30579.0</v>
      </c>
      <c r="J41" s="1" t="s">
        <v>566</v>
      </c>
      <c r="K41" s="1" t="s">
        <v>567</v>
      </c>
      <c r="L41" s="1" t="s">
        <v>51</v>
      </c>
      <c r="N41" s="1" t="s">
        <v>68</v>
      </c>
      <c r="O41" s="1" t="s">
        <v>68</v>
      </c>
      <c r="P41" s="1" t="s">
        <v>94</v>
      </c>
      <c r="Q41" s="1" t="s">
        <v>95</v>
      </c>
      <c r="R41" s="1" t="s">
        <v>568</v>
      </c>
      <c r="S41" s="1" t="s">
        <v>145</v>
      </c>
      <c r="T41" s="1" t="s">
        <v>57</v>
      </c>
      <c r="W41" s="1" t="s">
        <v>569</v>
      </c>
    </row>
    <row r="42" ht="15.75" customHeight="1">
      <c r="A42" s="1" t="s">
        <v>570</v>
      </c>
      <c r="B42" s="1" t="s">
        <v>195</v>
      </c>
      <c r="C42" s="1" t="s">
        <v>570</v>
      </c>
      <c r="D42" s="1" t="s">
        <v>572</v>
      </c>
      <c r="E42" s="1" t="s">
        <v>573</v>
      </c>
      <c r="F42" s="1" t="s">
        <v>574</v>
      </c>
      <c r="G42" s="1" t="s">
        <v>496</v>
      </c>
      <c r="H42" s="1" t="s">
        <v>174</v>
      </c>
      <c r="I42" s="10">
        <v>32555.0</v>
      </c>
      <c r="J42" s="1" t="s">
        <v>575</v>
      </c>
      <c r="K42" s="1" t="s">
        <v>576</v>
      </c>
      <c r="L42" s="1" t="s">
        <v>90</v>
      </c>
      <c r="M42" s="1" t="s">
        <v>577</v>
      </c>
      <c r="N42" s="1" t="s">
        <v>578</v>
      </c>
      <c r="O42" s="1" t="s">
        <v>578</v>
      </c>
      <c r="P42" s="1" t="s">
        <v>94</v>
      </c>
      <c r="Q42" s="1" t="s">
        <v>95</v>
      </c>
      <c r="R42" s="1" t="s">
        <v>579</v>
      </c>
      <c r="S42" s="1" t="s">
        <v>97</v>
      </c>
      <c r="T42" s="1" t="s">
        <v>57</v>
      </c>
      <c r="W42" s="1" t="s">
        <v>580</v>
      </c>
    </row>
    <row r="43" ht="15.75" customHeight="1">
      <c r="A43" s="1" t="s">
        <v>581</v>
      </c>
      <c r="B43" s="1" t="s">
        <v>241</v>
      </c>
      <c r="C43" s="1" t="s">
        <v>581</v>
      </c>
      <c r="D43" s="1" t="s">
        <v>582</v>
      </c>
      <c r="E43" s="1" t="s">
        <v>583</v>
      </c>
      <c r="F43" s="1" t="s">
        <v>493</v>
      </c>
      <c r="G43" s="1" t="s">
        <v>584</v>
      </c>
      <c r="H43" s="1" t="s">
        <v>68</v>
      </c>
      <c r="I43" s="10">
        <v>37908.0</v>
      </c>
      <c r="J43" s="1" t="s">
        <v>585</v>
      </c>
      <c r="K43" s="1" t="s">
        <v>586</v>
      </c>
      <c r="L43" s="1" t="s">
        <v>51</v>
      </c>
      <c r="M43" s="1" t="s">
        <v>587</v>
      </c>
      <c r="N43" s="1" t="s">
        <v>68</v>
      </c>
      <c r="O43" s="1" t="s">
        <v>68</v>
      </c>
      <c r="P43" s="1" t="s">
        <v>94</v>
      </c>
      <c r="Q43" s="1" t="s">
        <v>95</v>
      </c>
      <c r="R43" s="1" t="s">
        <v>588</v>
      </c>
      <c r="S43" s="1" t="s">
        <v>145</v>
      </c>
      <c r="T43" s="1" t="s">
        <v>57</v>
      </c>
      <c r="W43" s="1" t="s">
        <v>589</v>
      </c>
    </row>
    <row r="44" ht="15.75" customHeight="1">
      <c r="A44" s="1" t="s">
        <v>590</v>
      </c>
      <c r="B44" s="1" t="s">
        <v>358</v>
      </c>
      <c r="C44" s="1" t="s">
        <v>590</v>
      </c>
      <c r="D44" s="1" t="s">
        <v>591</v>
      </c>
      <c r="E44" s="1" t="s">
        <v>592</v>
      </c>
      <c r="F44" s="1" t="s">
        <v>545</v>
      </c>
      <c r="G44" s="1" t="s">
        <v>463</v>
      </c>
      <c r="H44" s="1" t="s">
        <v>174</v>
      </c>
      <c r="I44" s="10">
        <v>30117.0</v>
      </c>
      <c r="J44" s="1" t="s">
        <v>593</v>
      </c>
      <c r="K44" s="1" t="s">
        <v>594</v>
      </c>
      <c r="L44" s="1" t="s">
        <v>90</v>
      </c>
      <c r="M44" s="1" t="s">
        <v>595</v>
      </c>
      <c r="N44" s="1" t="s">
        <v>501</v>
      </c>
      <c r="O44" s="1" t="s">
        <v>501</v>
      </c>
      <c r="P44" s="1" t="s">
        <v>94</v>
      </c>
      <c r="Q44" s="1" t="s">
        <v>95</v>
      </c>
      <c r="R44" s="1" t="s">
        <v>596</v>
      </c>
      <c r="S44" s="1" t="s">
        <v>145</v>
      </c>
      <c r="T44" s="1" t="s">
        <v>57</v>
      </c>
      <c r="W44" s="1" t="s">
        <v>597</v>
      </c>
    </row>
    <row r="45" ht="15.75" customHeight="1">
      <c r="A45" s="1" t="s">
        <v>598</v>
      </c>
      <c r="B45" s="1" t="s">
        <v>288</v>
      </c>
      <c r="C45" s="1" t="s">
        <v>598</v>
      </c>
      <c r="D45" s="1" t="s">
        <v>599</v>
      </c>
      <c r="E45" s="1" t="s">
        <v>600</v>
      </c>
      <c r="F45" s="1" t="s">
        <v>601</v>
      </c>
      <c r="G45" s="1" t="s">
        <v>518</v>
      </c>
      <c r="H45" s="1" t="s">
        <v>68</v>
      </c>
      <c r="I45" s="10">
        <v>36297.0</v>
      </c>
      <c r="J45" s="1" t="s">
        <v>602</v>
      </c>
      <c r="K45" s="1" t="s">
        <v>603</v>
      </c>
      <c r="L45" s="1" t="s">
        <v>90</v>
      </c>
      <c r="M45" s="1" t="s">
        <v>604</v>
      </c>
      <c r="N45" s="1" t="s">
        <v>68</v>
      </c>
      <c r="O45" s="1" t="s">
        <v>68</v>
      </c>
      <c r="P45" s="1" t="s">
        <v>94</v>
      </c>
      <c r="Q45" s="1" t="s">
        <v>95</v>
      </c>
      <c r="R45" s="1" t="s">
        <v>605</v>
      </c>
      <c r="S45" s="1" t="s">
        <v>606</v>
      </c>
      <c r="T45" s="1" t="s">
        <v>57</v>
      </c>
    </row>
    <row r="46" ht="15.75" customHeight="1">
      <c r="A46" s="1" t="s">
        <v>607</v>
      </c>
      <c r="B46" s="1" t="s">
        <v>225</v>
      </c>
      <c r="C46" s="1" t="s">
        <v>607</v>
      </c>
      <c r="D46" s="1" t="s">
        <v>608</v>
      </c>
      <c r="E46" s="1" t="s">
        <v>609</v>
      </c>
      <c r="F46" s="1" t="s">
        <v>610</v>
      </c>
      <c r="G46" s="1" t="s">
        <v>518</v>
      </c>
      <c r="H46" s="1" t="s">
        <v>68</v>
      </c>
      <c r="I46" s="10">
        <v>37061.0</v>
      </c>
      <c r="J46" s="1" t="s">
        <v>611</v>
      </c>
      <c r="K46" s="1" t="s">
        <v>612</v>
      </c>
      <c r="L46" s="1" t="s">
        <v>51</v>
      </c>
      <c r="M46" s="1" t="s">
        <v>613</v>
      </c>
      <c r="N46" s="1" t="s">
        <v>68</v>
      </c>
      <c r="O46" s="1" t="s">
        <v>68</v>
      </c>
      <c r="P46" s="1" t="s">
        <v>94</v>
      </c>
      <c r="Q46" s="1" t="s">
        <v>95</v>
      </c>
      <c r="R46" s="1" t="s">
        <v>614</v>
      </c>
      <c r="S46" s="1" t="s">
        <v>615</v>
      </c>
      <c r="T46" s="1" t="s">
        <v>57</v>
      </c>
      <c r="W46" s="1" t="s">
        <v>608</v>
      </c>
    </row>
    <row r="47" ht="15.75" customHeight="1">
      <c r="A47" s="1" t="s">
        <v>616</v>
      </c>
      <c r="B47" s="1" t="s">
        <v>229</v>
      </c>
      <c r="C47" s="1" t="s">
        <v>616</v>
      </c>
      <c r="D47" s="1" t="s">
        <v>617</v>
      </c>
      <c r="E47" s="1" t="s">
        <v>618</v>
      </c>
      <c r="F47" s="1" t="s">
        <v>619</v>
      </c>
      <c r="G47" s="1" t="s">
        <v>620</v>
      </c>
      <c r="H47" s="1" t="s">
        <v>68</v>
      </c>
      <c r="I47" s="10">
        <v>30759.0</v>
      </c>
      <c r="J47" s="1" t="s">
        <v>621</v>
      </c>
      <c r="K47" s="1" t="s">
        <v>622</v>
      </c>
      <c r="L47" s="1" t="s">
        <v>90</v>
      </c>
      <c r="M47" s="1" t="s">
        <v>623</v>
      </c>
      <c r="N47" s="1" t="s">
        <v>68</v>
      </c>
      <c r="O47" s="1" t="s">
        <v>68</v>
      </c>
      <c r="P47" s="1" t="s">
        <v>53</v>
      </c>
      <c r="Q47" s="1" t="s">
        <v>54</v>
      </c>
      <c r="R47" s="1" t="s">
        <v>624</v>
      </c>
      <c r="S47" s="1" t="s">
        <v>625</v>
      </c>
      <c r="T47" s="1" t="s">
        <v>57</v>
      </c>
    </row>
    <row r="48" ht="15.75" customHeight="1">
      <c r="A48" s="1" t="s">
        <v>626</v>
      </c>
      <c r="B48" s="1" t="s">
        <v>416</v>
      </c>
      <c r="C48" s="1" t="s">
        <v>626</v>
      </c>
      <c r="D48" s="1" t="s">
        <v>513</v>
      </c>
      <c r="E48" s="1" t="s">
        <v>627</v>
      </c>
      <c r="F48" s="1" t="s">
        <v>628</v>
      </c>
      <c r="G48" s="1" t="s">
        <v>629</v>
      </c>
      <c r="H48" s="1" t="s">
        <v>68</v>
      </c>
      <c r="I48" s="10">
        <v>27534.0</v>
      </c>
      <c r="J48" s="1" t="s">
        <v>630</v>
      </c>
      <c r="K48" s="1" t="s">
        <v>631</v>
      </c>
      <c r="L48" s="1" t="s">
        <v>51</v>
      </c>
      <c r="M48" s="1" t="s">
        <v>632</v>
      </c>
      <c r="N48" s="1" t="s">
        <v>68</v>
      </c>
      <c r="O48" s="1" t="s">
        <v>68</v>
      </c>
      <c r="P48" s="1" t="s">
        <v>53</v>
      </c>
      <c r="Q48" s="1" t="s">
        <v>54</v>
      </c>
      <c r="R48" s="1" t="s">
        <v>633</v>
      </c>
      <c r="S48" s="1" t="s">
        <v>471</v>
      </c>
      <c r="T48" s="1" t="s">
        <v>57</v>
      </c>
      <c r="W48" s="1" t="s">
        <v>634</v>
      </c>
    </row>
    <row r="49" ht="15.75" customHeight="1">
      <c r="A49" s="1" t="s">
        <v>635</v>
      </c>
      <c r="B49" s="1" t="s">
        <v>636</v>
      </c>
      <c r="C49" s="1" t="s">
        <v>635</v>
      </c>
      <c r="D49" s="1" t="s">
        <v>637</v>
      </c>
      <c r="E49" s="1" t="s">
        <v>638</v>
      </c>
      <c r="F49" s="1" t="s">
        <v>639</v>
      </c>
      <c r="G49" s="1" t="s">
        <v>640</v>
      </c>
      <c r="H49" s="1" t="s">
        <v>174</v>
      </c>
      <c r="I49" s="10">
        <v>36237.0</v>
      </c>
      <c r="J49" s="1" t="s">
        <v>641</v>
      </c>
      <c r="K49" s="1" t="s">
        <v>642</v>
      </c>
      <c r="L49" s="1" t="s">
        <v>90</v>
      </c>
      <c r="M49" s="1" t="s">
        <v>643</v>
      </c>
      <c r="N49" s="1" t="s">
        <v>468</v>
      </c>
      <c r="O49" s="1" t="s">
        <v>468</v>
      </c>
      <c r="P49" s="1" t="s">
        <v>94</v>
      </c>
      <c r="Q49" s="1" t="s">
        <v>95</v>
      </c>
      <c r="R49" s="1" t="s">
        <v>644</v>
      </c>
      <c r="S49" s="1" t="s">
        <v>145</v>
      </c>
      <c r="T49" s="1" t="s">
        <v>57</v>
      </c>
      <c r="W49" s="1" t="s">
        <v>645</v>
      </c>
    </row>
    <row r="50" ht="15.75" customHeight="1">
      <c r="A50" s="1" t="s">
        <v>646</v>
      </c>
      <c r="B50" s="1" t="s">
        <v>318</v>
      </c>
      <c r="C50" s="1" t="s">
        <v>646</v>
      </c>
      <c r="D50" s="1" t="s">
        <v>647</v>
      </c>
      <c r="E50" s="1" t="s">
        <v>648</v>
      </c>
      <c r="F50" s="1" t="s">
        <v>649</v>
      </c>
      <c r="G50" s="1" t="s">
        <v>629</v>
      </c>
      <c r="H50" s="1" t="s">
        <v>68</v>
      </c>
      <c r="I50" s="10">
        <v>28182.0</v>
      </c>
      <c r="J50" s="1" t="s">
        <v>650</v>
      </c>
      <c r="K50" s="1" t="s">
        <v>651</v>
      </c>
      <c r="L50" s="1" t="s">
        <v>90</v>
      </c>
      <c r="M50" s="1" t="s">
        <v>652</v>
      </c>
      <c r="N50" s="1" t="s">
        <v>68</v>
      </c>
      <c r="O50" s="1" t="s">
        <v>68</v>
      </c>
      <c r="P50" s="1" t="s">
        <v>53</v>
      </c>
      <c r="Q50" s="1" t="s">
        <v>54</v>
      </c>
      <c r="R50" s="1" t="s">
        <v>653</v>
      </c>
      <c r="S50" s="1" t="s">
        <v>76</v>
      </c>
      <c r="T50" s="1" t="s">
        <v>57</v>
      </c>
      <c r="W50" s="1" t="s">
        <v>654</v>
      </c>
    </row>
    <row r="51" ht="15.75" customHeight="1">
      <c r="A51" s="1" t="s">
        <v>655</v>
      </c>
      <c r="B51" s="1" t="s">
        <v>437</v>
      </c>
      <c r="C51" s="1" t="s">
        <v>655</v>
      </c>
      <c r="D51" s="1" t="s">
        <v>656</v>
      </c>
      <c r="E51" s="1" t="s">
        <v>657</v>
      </c>
      <c r="F51" s="1" t="s">
        <v>658</v>
      </c>
      <c r="G51" s="1" t="s">
        <v>518</v>
      </c>
      <c r="H51" s="1" t="s">
        <v>68</v>
      </c>
      <c r="I51" s="10">
        <v>35370.0</v>
      </c>
      <c r="J51" s="1" t="s">
        <v>659</v>
      </c>
      <c r="K51" s="1" t="s">
        <v>660</v>
      </c>
      <c r="L51" s="1" t="s">
        <v>51</v>
      </c>
      <c r="M51" s="1" t="s">
        <v>661</v>
      </c>
      <c r="N51" s="1" t="s">
        <v>68</v>
      </c>
      <c r="O51" s="1" t="s">
        <v>68</v>
      </c>
      <c r="P51" s="1" t="s">
        <v>53</v>
      </c>
      <c r="Q51" s="1" t="s">
        <v>54</v>
      </c>
      <c r="R51" s="1" t="s">
        <v>662</v>
      </c>
      <c r="S51" s="1" t="s">
        <v>606</v>
      </c>
      <c r="T51" s="1" t="s">
        <v>57</v>
      </c>
      <c r="W51" s="1" t="s">
        <v>663</v>
      </c>
    </row>
    <row r="52" ht="15.75" customHeight="1">
      <c r="A52" s="1" t="s">
        <v>664</v>
      </c>
      <c r="B52" s="1" t="s">
        <v>299</v>
      </c>
      <c r="C52" s="1" t="s">
        <v>664</v>
      </c>
      <c r="D52" s="1" t="s">
        <v>665</v>
      </c>
      <c r="E52" s="1" t="s">
        <v>666</v>
      </c>
      <c r="F52" s="1" t="s">
        <v>667</v>
      </c>
      <c r="G52" s="1" t="s">
        <v>518</v>
      </c>
      <c r="H52" s="1" t="s">
        <v>68</v>
      </c>
      <c r="I52" s="10">
        <v>32410.0</v>
      </c>
      <c r="J52" s="1" t="s">
        <v>668</v>
      </c>
      <c r="K52" s="1" t="s">
        <v>669</v>
      </c>
      <c r="L52" s="1" t="s">
        <v>51</v>
      </c>
      <c r="M52" s="1" t="s">
        <v>670</v>
      </c>
      <c r="N52" s="1" t="s">
        <v>68</v>
      </c>
      <c r="O52" s="1" t="s">
        <v>68</v>
      </c>
      <c r="P52" s="1" t="s">
        <v>53</v>
      </c>
      <c r="Q52" s="1" t="s">
        <v>54</v>
      </c>
      <c r="R52" s="1" t="s">
        <v>671</v>
      </c>
      <c r="S52" s="1" t="s">
        <v>672</v>
      </c>
      <c r="T52" s="1" t="s">
        <v>57</v>
      </c>
      <c r="W52" s="1" t="s">
        <v>673</v>
      </c>
    </row>
    <row r="53" ht="15.75" customHeight="1">
      <c r="A53" s="1" t="s">
        <v>674</v>
      </c>
      <c r="B53" s="1" t="s">
        <v>347</v>
      </c>
      <c r="C53" s="1" t="s">
        <v>674</v>
      </c>
      <c r="D53" s="1" t="s">
        <v>675</v>
      </c>
      <c r="E53" s="1" t="s">
        <v>676</v>
      </c>
      <c r="F53" s="1" t="s">
        <v>677</v>
      </c>
      <c r="G53" s="1" t="s">
        <v>518</v>
      </c>
      <c r="H53" s="1" t="s">
        <v>68</v>
      </c>
      <c r="I53" s="10">
        <v>36580.0</v>
      </c>
      <c r="J53" s="1" t="s">
        <v>678</v>
      </c>
      <c r="K53" s="1" t="s">
        <v>679</v>
      </c>
      <c r="L53" s="1" t="s">
        <v>51</v>
      </c>
      <c r="M53" s="1" t="s">
        <v>680</v>
      </c>
      <c r="N53" s="1" t="s">
        <v>68</v>
      </c>
      <c r="O53" s="1" t="s">
        <v>68</v>
      </c>
      <c r="P53" s="1" t="s">
        <v>94</v>
      </c>
      <c r="Q53" s="1" t="s">
        <v>95</v>
      </c>
      <c r="R53" s="1" t="s">
        <v>681</v>
      </c>
      <c r="S53" s="1" t="s">
        <v>97</v>
      </c>
      <c r="T53" s="1" t="s">
        <v>57</v>
      </c>
      <c r="W53" s="1" t="s">
        <v>682</v>
      </c>
    </row>
    <row r="54" ht="15.75" customHeight="1">
      <c r="A54" s="1" t="s">
        <v>683</v>
      </c>
      <c r="B54" s="1" t="s">
        <v>476</v>
      </c>
      <c r="C54" s="1" t="s">
        <v>683</v>
      </c>
      <c r="D54" s="1" t="s">
        <v>684</v>
      </c>
      <c r="E54" s="1" t="s">
        <v>685</v>
      </c>
      <c r="F54" s="1" t="s">
        <v>686</v>
      </c>
      <c r="G54" s="1" t="s">
        <v>620</v>
      </c>
      <c r="H54" s="1" t="s">
        <v>68</v>
      </c>
      <c r="I54" s="10">
        <v>26894.0</v>
      </c>
      <c r="J54" s="1" t="s">
        <v>687</v>
      </c>
      <c r="K54" s="1" t="s">
        <v>688</v>
      </c>
      <c r="L54" s="1" t="s">
        <v>51</v>
      </c>
      <c r="M54" s="1" t="s">
        <v>689</v>
      </c>
      <c r="N54" s="1" t="s">
        <v>68</v>
      </c>
      <c r="O54" s="1" t="s">
        <v>68</v>
      </c>
      <c r="P54" s="1" t="s">
        <v>53</v>
      </c>
      <c r="Q54" s="1" t="s">
        <v>54</v>
      </c>
      <c r="R54" s="1" t="s">
        <v>690</v>
      </c>
      <c r="S54" s="1" t="s">
        <v>145</v>
      </c>
      <c r="T54" s="1" t="s">
        <v>57</v>
      </c>
      <c r="W54" s="1" t="s">
        <v>691</v>
      </c>
    </row>
    <row r="55" ht="15.75" customHeight="1">
      <c r="A55" s="1" t="s">
        <v>692</v>
      </c>
      <c r="B55" s="1" t="s">
        <v>693</v>
      </c>
      <c r="C55" s="1" t="s">
        <v>692</v>
      </c>
      <c r="D55" s="1" t="s">
        <v>694</v>
      </c>
      <c r="E55" s="1" t="s">
        <v>190</v>
      </c>
      <c r="F55" s="1" t="s">
        <v>221</v>
      </c>
      <c r="G55" s="1" t="s">
        <v>695</v>
      </c>
      <c r="H55" s="1" t="s">
        <v>86</v>
      </c>
      <c r="I55" s="10">
        <v>33681.0</v>
      </c>
      <c r="J55" s="1" t="s">
        <v>696</v>
      </c>
      <c r="K55" s="1" t="s">
        <v>697</v>
      </c>
      <c r="L55" s="1" t="s">
        <v>51</v>
      </c>
      <c r="M55" s="1" t="s">
        <v>698</v>
      </c>
      <c r="N55" s="1" t="s">
        <v>408</v>
      </c>
      <c r="O55" s="1" t="s">
        <v>408</v>
      </c>
      <c r="P55" s="1" t="s">
        <v>94</v>
      </c>
      <c r="Q55" s="1" t="s">
        <v>95</v>
      </c>
      <c r="R55" s="1" t="s">
        <v>699</v>
      </c>
      <c r="S55" s="1" t="s">
        <v>700</v>
      </c>
      <c r="T55" s="1" t="s">
        <v>57</v>
      </c>
      <c r="W55" s="1" t="s">
        <v>694</v>
      </c>
    </row>
    <row r="56" ht="15.75" customHeight="1">
      <c r="A56" s="1" t="s">
        <v>701</v>
      </c>
      <c r="B56" s="1" t="s">
        <v>261</v>
      </c>
      <c r="C56" s="1" t="s">
        <v>701</v>
      </c>
      <c r="D56" s="1" t="s">
        <v>702</v>
      </c>
      <c r="E56" s="1" t="s">
        <v>703</v>
      </c>
      <c r="F56" s="1" t="s">
        <v>704</v>
      </c>
      <c r="G56" s="1" t="s">
        <v>629</v>
      </c>
      <c r="H56" s="1" t="s">
        <v>68</v>
      </c>
      <c r="I56" s="10">
        <v>27051.0</v>
      </c>
      <c r="J56" s="1" t="s">
        <v>705</v>
      </c>
      <c r="K56" s="1" t="s">
        <v>706</v>
      </c>
      <c r="L56" s="1" t="s">
        <v>90</v>
      </c>
      <c r="M56" s="1" t="s">
        <v>707</v>
      </c>
      <c r="N56" s="1" t="s">
        <v>68</v>
      </c>
      <c r="O56" s="1" t="s">
        <v>68</v>
      </c>
      <c r="P56" s="1" t="s">
        <v>53</v>
      </c>
      <c r="Q56" s="1" t="s">
        <v>54</v>
      </c>
      <c r="R56" s="1" t="s">
        <v>708</v>
      </c>
      <c r="S56" s="1" t="s">
        <v>615</v>
      </c>
      <c r="T56" s="1" t="s">
        <v>57</v>
      </c>
    </row>
    <row r="57" ht="15.75" customHeight="1">
      <c r="A57" s="1" t="s">
        <v>709</v>
      </c>
      <c r="B57" s="1" t="s">
        <v>352</v>
      </c>
      <c r="C57" s="1" t="s">
        <v>709</v>
      </c>
      <c r="D57" s="1" t="s">
        <v>710</v>
      </c>
      <c r="E57" s="1" t="s">
        <v>711</v>
      </c>
      <c r="F57" s="1" t="s">
        <v>712</v>
      </c>
      <c r="G57" s="1" t="s">
        <v>620</v>
      </c>
      <c r="H57" s="1" t="s">
        <v>68</v>
      </c>
      <c r="I57" s="10">
        <v>30840.0</v>
      </c>
      <c r="J57" s="1" t="s">
        <v>713</v>
      </c>
      <c r="K57" s="1" t="s">
        <v>714</v>
      </c>
      <c r="L57" s="1" t="s">
        <v>51</v>
      </c>
      <c r="M57" s="1" t="s">
        <v>715</v>
      </c>
      <c r="N57" s="1" t="s">
        <v>68</v>
      </c>
      <c r="O57" s="1" t="s">
        <v>68</v>
      </c>
      <c r="P57" s="1" t="s">
        <v>53</v>
      </c>
      <c r="Q57" s="1" t="s">
        <v>54</v>
      </c>
      <c r="R57" s="1" t="s">
        <v>716</v>
      </c>
      <c r="S57" s="1" t="s">
        <v>56</v>
      </c>
      <c r="T57" s="1" t="s">
        <v>57</v>
      </c>
      <c r="W57" s="1" t="s">
        <v>717</v>
      </c>
    </row>
    <row r="58" ht="15.75" customHeight="1">
      <c r="A58" s="1" t="s">
        <v>718</v>
      </c>
      <c r="B58" s="1" t="s">
        <v>440</v>
      </c>
      <c r="C58" s="1" t="s">
        <v>718</v>
      </c>
      <c r="D58" s="1" t="s">
        <v>719</v>
      </c>
      <c r="E58" s="1" t="s">
        <v>720</v>
      </c>
      <c r="F58" s="1" t="s">
        <v>721</v>
      </c>
      <c r="G58" s="1" t="s">
        <v>136</v>
      </c>
      <c r="H58" s="1" t="s">
        <v>68</v>
      </c>
      <c r="I58" s="10">
        <v>33729.0</v>
      </c>
      <c r="J58" s="1" t="s">
        <v>722</v>
      </c>
      <c r="K58" s="1" t="s">
        <v>723</v>
      </c>
      <c r="L58" s="1" t="s">
        <v>51</v>
      </c>
      <c r="M58" s="1" t="s">
        <v>724</v>
      </c>
      <c r="N58" s="1" t="s">
        <v>68</v>
      </c>
      <c r="O58" s="1" t="s">
        <v>68</v>
      </c>
      <c r="P58" s="1" t="s">
        <v>53</v>
      </c>
      <c r="Q58" s="1" t="s">
        <v>54</v>
      </c>
      <c r="R58" s="1" t="s">
        <v>725</v>
      </c>
      <c r="S58" s="1" t="s">
        <v>76</v>
      </c>
      <c r="T58" s="1" t="s">
        <v>57</v>
      </c>
      <c r="W58" s="1" t="s">
        <v>726</v>
      </c>
    </row>
    <row r="59" ht="15.75" customHeight="1">
      <c r="A59" s="1" t="s">
        <v>727</v>
      </c>
      <c r="B59" s="1" t="s">
        <v>40</v>
      </c>
      <c r="C59" s="1" t="s">
        <v>727</v>
      </c>
      <c r="D59" s="1" t="s">
        <v>728</v>
      </c>
      <c r="E59" s="1" t="s">
        <v>729</v>
      </c>
      <c r="F59" s="1" t="s">
        <v>730</v>
      </c>
      <c r="G59" s="1" t="s">
        <v>731</v>
      </c>
      <c r="H59" s="1" t="s">
        <v>47</v>
      </c>
      <c r="I59" s="10">
        <v>25532.0</v>
      </c>
      <c r="J59" s="1" t="s">
        <v>732</v>
      </c>
      <c r="K59" s="1" t="s">
        <v>733</v>
      </c>
      <c r="L59" s="1" t="s">
        <v>51</v>
      </c>
      <c r="M59" s="1" t="s">
        <v>734</v>
      </c>
      <c r="N59" s="1" t="s">
        <v>47</v>
      </c>
      <c r="O59" s="1" t="s">
        <v>47</v>
      </c>
      <c r="P59" s="1" t="s">
        <v>53</v>
      </c>
      <c r="Q59" s="1" t="s">
        <v>54</v>
      </c>
      <c r="R59" s="1" t="s">
        <v>735</v>
      </c>
      <c r="S59" s="1" t="s">
        <v>615</v>
      </c>
      <c r="T59" s="1" t="s">
        <v>57</v>
      </c>
      <c r="W59" s="1" t="s">
        <v>736</v>
      </c>
    </row>
    <row r="60" ht="15.75" customHeight="1">
      <c r="A60" s="1" t="s">
        <v>737</v>
      </c>
      <c r="B60" s="1" t="s">
        <v>738</v>
      </c>
      <c r="C60" s="1" t="s">
        <v>737</v>
      </c>
      <c r="D60" s="1" t="s">
        <v>739</v>
      </c>
      <c r="E60" s="1" t="s">
        <v>740</v>
      </c>
      <c r="F60" s="1" t="s">
        <v>741</v>
      </c>
      <c r="G60" s="1" t="s">
        <v>742</v>
      </c>
      <c r="H60" s="1" t="s">
        <v>86</v>
      </c>
      <c r="I60" s="10">
        <v>33148.0</v>
      </c>
      <c r="J60" s="1" t="s">
        <v>743</v>
      </c>
      <c r="K60" s="1" t="s">
        <v>744</v>
      </c>
      <c r="L60" s="1" t="s">
        <v>90</v>
      </c>
      <c r="M60" s="1" t="s">
        <v>745</v>
      </c>
      <c r="N60" s="1" t="s">
        <v>108</v>
      </c>
      <c r="O60" s="1" t="s">
        <v>108</v>
      </c>
      <c r="P60" s="1" t="s">
        <v>94</v>
      </c>
      <c r="Q60" s="1" t="s">
        <v>95</v>
      </c>
      <c r="R60" s="1" t="s">
        <v>746</v>
      </c>
      <c r="S60" s="1" t="s">
        <v>97</v>
      </c>
      <c r="T60" s="1" t="s">
        <v>57</v>
      </c>
      <c r="W60" s="1" t="s">
        <v>747</v>
      </c>
    </row>
    <row r="61" ht="15.75" customHeight="1">
      <c r="A61" s="1" t="s">
        <v>748</v>
      </c>
      <c r="B61" s="1" t="s">
        <v>455</v>
      </c>
      <c r="C61" s="1" t="s">
        <v>748</v>
      </c>
      <c r="D61" s="1" t="s">
        <v>749</v>
      </c>
      <c r="E61" s="1" t="s">
        <v>750</v>
      </c>
      <c r="F61" s="1" t="s">
        <v>508</v>
      </c>
      <c r="G61" s="1" t="s">
        <v>136</v>
      </c>
      <c r="H61" s="1" t="s">
        <v>68</v>
      </c>
      <c r="I61" s="10">
        <v>32714.0</v>
      </c>
      <c r="J61" s="1" t="s">
        <v>751</v>
      </c>
      <c r="K61" s="1" t="s">
        <v>752</v>
      </c>
      <c r="L61" s="1" t="s">
        <v>51</v>
      </c>
      <c r="M61" s="1" t="s">
        <v>753</v>
      </c>
      <c r="N61" s="1" t="s">
        <v>68</v>
      </c>
      <c r="O61" s="1" t="s">
        <v>68</v>
      </c>
      <c r="P61" s="1" t="s">
        <v>53</v>
      </c>
      <c r="Q61" s="1" t="s">
        <v>54</v>
      </c>
      <c r="R61" s="1" t="s">
        <v>754</v>
      </c>
      <c r="S61" s="1" t="s">
        <v>145</v>
      </c>
      <c r="T61" s="1" t="s">
        <v>57</v>
      </c>
      <c r="W61" s="1" t="s">
        <v>755</v>
      </c>
    </row>
    <row r="62" ht="15.75" customHeight="1">
      <c r="A62" s="1" t="s">
        <v>756</v>
      </c>
      <c r="B62" s="1" t="s">
        <v>419</v>
      </c>
      <c r="C62" s="1" t="s">
        <v>756</v>
      </c>
      <c r="D62" s="1" t="s">
        <v>757</v>
      </c>
      <c r="E62" s="1" t="s">
        <v>170</v>
      </c>
      <c r="F62" s="1" t="s">
        <v>479</v>
      </c>
      <c r="G62" s="1" t="s">
        <v>463</v>
      </c>
      <c r="H62" s="1" t="s">
        <v>174</v>
      </c>
      <c r="I62" s="10">
        <v>34102.0</v>
      </c>
      <c r="J62" s="1" t="s">
        <v>758</v>
      </c>
      <c r="K62" s="1" t="s">
        <v>759</v>
      </c>
      <c r="L62" s="1" t="s">
        <v>51</v>
      </c>
      <c r="M62" s="1" t="s">
        <v>760</v>
      </c>
      <c r="N62" s="1" t="s">
        <v>468</v>
      </c>
      <c r="O62" s="1" t="s">
        <v>468</v>
      </c>
      <c r="P62" s="1" t="s">
        <v>94</v>
      </c>
      <c r="Q62" s="1" t="s">
        <v>95</v>
      </c>
      <c r="R62" s="1" t="s">
        <v>761</v>
      </c>
      <c r="S62" s="1" t="s">
        <v>561</v>
      </c>
      <c r="T62" s="1" t="s">
        <v>57</v>
      </c>
      <c r="W62" s="1" t="s">
        <v>762</v>
      </c>
    </row>
    <row r="63" ht="15.75" customHeight="1">
      <c r="A63" s="1" t="s">
        <v>763</v>
      </c>
      <c r="B63" s="1" t="s">
        <v>279</v>
      </c>
      <c r="C63" s="1" t="s">
        <v>763</v>
      </c>
      <c r="D63" s="1" t="s">
        <v>764</v>
      </c>
      <c r="E63" s="1" t="s">
        <v>765</v>
      </c>
      <c r="F63" s="1" t="s">
        <v>766</v>
      </c>
      <c r="G63" s="1" t="s">
        <v>305</v>
      </c>
      <c r="H63" s="1" t="s">
        <v>68</v>
      </c>
      <c r="I63" s="10">
        <v>26999.0</v>
      </c>
      <c r="J63" s="1" t="s">
        <v>767</v>
      </c>
      <c r="K63" s="1" t="s">
        <v>768</v>
      </c>
      <c r="L63" s="1" t="s">
        <v>90</v>
      </c>
      <c r="M63" s="1" t="s">
        <v>769</v>
      </c>
      <c r="N63" s="1" t="s">
        <v>68</v>
      </c>
      <c r="O63" s="1" t="s">
        <v>68</v>
      </c>
      <c r="P63" s="1" t="s">
        <v>53</v>
      </c>
      <c r="Q63" s="1" t="s">
        <v>54</v>
      </c>
      <c r="R63" s="1" t="s">
        <v>770</v>
      </c>
      <c r="S63" s="1" t="s">
        <v>145</v>
      </c>
      <c r="T63" s="1" t="s">
        <v>57</v>
      </c>
      <c r="W63" s="1" t="s">
        <v>456</v>
      </c>
    </row>
    <row r="64" ht="15.75" customHeight="1">
      <c r="A64" s="1" t="s">
        <v>771</v>
      </c>
      <c r="B64" s="1" t="s">
        <v>772</v>
      </c>
      <c r="C64" s="1" t="s">
        <v>771</v>
      </c>
      <c r="D64" s="1" t="s">
        <v>773</v>
      </c>
      <c r="E64" s="1" t="s">
        <v>774</v>
      </c>
      <c r="F64" s="1" t="s">
        <v>775</v>
      </c>
      <c r="G64" s="1" t="s">
        <v>337</v>
      </c>
      <c r="H64" s="1" t="s">
        <v>86</v>
      </c>
      <c r="I64" s="10">
        <v>31663.0</v>
      </c>
      <c r="J64" s="1" t="s">
        <v>776</v>
      </c>
      <c r="K64" s="1" t="s">
        <v>777</v>
      </c>
      <c r="L64" s="1" t="s">
        <v>51</v>
      </c>
      <c r="M64" s="1" t="s">
        <v>778</v>
      </c>
      <c r="N64" s="1" t="s">
        <v>108</v>
      </c>
      <c r="O64" s="1" t="s">
        <v>108</v>
      </c>
      <c r="P64" s="1" t="s">
        <v>94</v>
      </c>
      <c r="Q64" s="1" t="s">
        <v>95</v>
      </c>
      <c r="R64" s="1" t="s">
        <v>779</v>
      </c>
      <c r="S64" s="1" t="s">
        <v>672</v>
      </c>
      <c r="T64" s="1" t="s">
        <v>57</v>
      </c>
      <c r="W64" s="1" t="s">
        <v>773</v>
      </c>
    </row>
    <row r="65" ht="15.75" customHeight="1">
      <c r="A65" s="1" t="s">
        <v>780</v>
      </c>
      <c r="B65" s="1" t="s">
        <v>304</v>
      </c>
      <c r="C65" s="1" t="s">
        <v>780</v>
      </c>
      <c r="D65" s="1" t="s">
        <v>781</v>
      </c>
      <c r="E65" s="1" t="s">
        <v>782</v>
      </c>
      <c r="F65" s="1" t="s">
        <v>783</v>
      </c>
      <c r="G65" s="1" t="s">
        <v>784</v>
      </c>
      <c r="H65" s="1" t="s">
        <v>174</v>
      </c>
      <c r="I65" s="10">
        <v>32826.0</v>
      </c>
      <c r="J65" s="1" t="s">
        <v>785</v>
      </c>
      <c r="K65" s="1" t="s">
        <v>786</v>
      </c>
      <c r="L65" s="1" t="s">
        <v>90</v>
      </c>
      <c r="M65" s="1" t="s">
        <v>787</v>
      </c>
      <c r="N65" s="1" t="s">
        <v>468</v>
      </c>
      <c r="O65" s="1" t="s">
        <v>468</v>
      </c>
      <c r="P65" s="1" t="s">
        <v>94</v>
      </c>
      <c r="Q65" s="1" t="s">
        <v>95</v>
      </c>
      <c r="R65" s="1" t="s">
        <v>788</v>
      </c>
      <c r="S65" s="1" t="s">
        <v>97</v>
      </c>
      <c r="T65" s="1" t="s">
        <v>57</v>
      </c>
      <c r="W65" s="1" t="s">
        <v>789</v>
      </c>
    </row>
    <row r="66" ht="15.75" customHeight="1">
      <c r="A66" s="1" t="s">
        <v>790</v>
      </c>
      <c r="B66" s="1" t="s">
        <v>66</v>
      </c>
      <c r="C66" s="1" t="s">
        <v>790</v>
      </c>
      <c r="D66" s="1" t="s">
        <v>580</v>
      </c>
      <c r="E66" s="1" t="s">
        <v>791</v>
      </c>
      <c r="F66" s="1" t="s">
        <v>792</v>
      </c>
      <c r="G66" s="1" t="s">
        <v>731</v>
      </c>
      <c r="H66" s="1" t="s">
        <v>68</v>
      </c>
      <c r="I66" s="10">
        <v>25741.0</v>
      </c>
      <c r="J66" s="1" t="s">
        <v>794</v>
      </c>
      <c r="K66" s="1" t="s">
        <v>795</v>
      </c>
      <c r="L66" s="1" t="s">
        <v>90</v>
      </c>
      <c r="M66" s="1" t="s">
        <v>796</v>
      </c>
      <c r="N66" s="1" t="s">
        <v>68</v>
      </c>
      <c r="O66" s="1" t="s">
        <v>68</v>
      </c>
      <c r="P66" s="1" t="s">
        <v>53</v>
      </c>
      <c r="Q66" s="1" t="s">
        <v>54</v>
      </c>
      <c r="R66" s="1" t="s">
        <v>797</v>
      </c>
      <c r="S66" s="1" t="s">
        <v>615</v>
      </c>
      <c r="T66" s="1" t="s">
        <v>57</v>
      </c>
      <c r="W66" s="1" t="s">
        <v>580</v>
      </c>
    </row>
    <row r="67" ht="15.75" customHeight="1">
      <c r="A67" s="1" t="s">
        <v>798</v>
      </c>
      <c r="B67" s="1" t="s">
        <v>309</v>
      </c>
      <c r="C67" s="1" t="s">
        <v>798</v>
      </c>
      <c r="D67" s="1" t="s">
        <v>799</v>
      </c>
      <c r="E67" s="1" t="s">
        <v>800</v>
      </c>
      <c r="F67" s="1" t="s">
        <v>801</v>
      </c>
      <c r="G67" s="1" t="s">
        <v>784</v>
      </c>
      <c r="H67" s="1" t="s">
        <v>174</v>
      </c>
      <c r="I67" s="10">
        <v>30629.0</v>
      </c>
      <c r="J67" s="1" t="s">
        <v>802</v>
      </c>
      <c r="K67" s="1" t="s">
        <v>803</v>
      </c>
      <c r="L67" s="1" t="s">
        <v>90</v>
      </c>
      <c r="M67" s="1" t="s">
        <v>804</v>
      </c>
      <c r="N67" s="1" t="s">
        <v>468</v>
      </c>
      <c r="O67" s="1" t="s">
        <v>468</v>
      </c>
      <c r="P67" s="1" t="s">
        <v>94</v>
      </c>
      <c r="Q67" s="1" t="s">
        <v>95</v>
      </c>
      <c r="R67" s="1" t="s">
        <v>805</v>
      </c>
      <c r="S67" s="1" t="s">
        <v>126</v>
      </c>
      <c r="T67" s="1" t="s">
        <v>57</v>
      </c>
      <c r="W67" s="1" t="s">
        <v>799</v>
      </c>
    </row>
    <row r="68" ht="15.75" customHeight="1">
      <c r="A68" s="1" t="s">
        <v>806</v>
      </c>
      <c r="B68" s="1" t="s">
        <v>452</v>
      </c>
      <c r="C68" s="1" t="s">
        <v>806</v>
      </c>
      <c r="D68" s="1" t="s">
        <v>807</v>
      </c>
      <c r="E68" s="1" t="s">
        <v>808</v>
      </c>
      <c r="F68" s="1" t="s">
        <v>809</v>
      </c>
      <c r="G68" s="1" t="s">
        <v>810</v>
      </c>
      <c r="H68" s="1" t="s">
        <v>273</v>
      </c>
      <c r="I68" s="10">
        <v>30157.0</v>
      </c>
      <c r="J68" s="1" t="s">
        <v>811</v>
      </c>
      <c r="K68" s="1" t="s">
        <v>812</v>
      </c>
      <c r="L68" s="1" t="s">
        <v>90</v>
      </c>
      <c r="M68" s="1" t="s">
        <v>813</v>
      </c>
      <c r="N68" s="1" t="s">
        <v>273</v>
      </c>
      <c r="O68" s="1" t="s">
        <v>273</v>
      </c>
      <c r="P68" s="1" t="s">
        <v>94</v>
      </c>
      <c r="Q68" s="1" t="s">
        <v>95</v>
      </c>
      <c r="R68" s="1" t="s">
        <v>814</v>
      </c>
      <c r="S68" s="1" t="s">
        <v>815</v>
      </c>
      <c r="T68" s="1" t="s">
        <v>57</v>
      </c>
      <c r="W68" s="1" t="s">
        <v>807</v>
      </c>
    </row>
    <row r="69" ht="15.75" customHeight="1">
      <c r="A69" s="1" t="s">
        <v>816</v>
      </c>
      <c r="B69" s="1" t="s">
        <v>213</v>
      </c>
      <c r="C69" s="1" t="s">
        <v>816</v>
      </c>
      <c r="D69" s="1" t="s">
        <v>817</v>
      </c>
      <c r="E69" s="1" t="s">
        <v>818</v>
      </c>
      <c r="F69" s="1" t="s">
        <v>819</v>
      </c>
      <c r="G69" s="1" t="s">
        <v>518</v>
      </c>
      <c r="H69" s="1" t="s">
        <v>68</v>
      </c>
      <c r="I69" s="10">
        <v>36172.0</v>
      </c>
      <c r="J69" s="1" t="s">
        <v>820</v>
      </c>
      <c r="K69" s="1" t="s">
        <v>821</v>
      </c>
      <c r="L69" s="1" t="s">
        <v>51</v>
      </c>
      <c r="M69" s="1" t="s">
        <v>822</v>
      </c>
      <c r="N69" s="1" t="s">
        <v>68</v>
      </c>
      <c r="O69" s="1" t="s">
        <v>68</v>
      </c>
      <c r="P69" s="1" t="s">
        <v>53</v>
      </c>
      <c r="Q69" s="1" t="s">
        <v>54</v>
      </c>
      <c r="R69" s="1" t="s">
        <v>823</v>
      </c>
      <c r="S69" s="1" t="s">
        <v>76</v>
      </c>
      <c r="T69" s="1" t="s">
        <v>57</v>
      </c>
      <c r="W69" s="1" t="s">
        <v>824</v>
      </c>
    </row>
    <row r="70" ht="15.75" customHeight="1">
      <c r="A70" s="1" t="s">
        <v>825</v>
      </c>
      <c r="B70" s="1" t="s">
        <v>171</v>
      </c>
      <c r="C70" s="1" t="s">
        <v>825</v>
      </c>
      <c r="D70" s="1" t="s">
        <v>826</v>
      </c>
      <c r="E70" s="1" t="s">
        <v>827</v>
      </c>
      <c r="F70" s="1" t="s">
        <v>828</v>
      </c>
      <c r="G70" s="1" t="s">
        <v>173</v>
      </c>
      <c r="H70" s="1" t="s">
        <v>174</v>
      </c>
      <c r="I70" s="10">
        <v>34725.0</v>
      </c>
      <c r="J70" s="1" t="s">
        <v>829</v>
      </c>
      <c r="K70" s="1" t="s">
        <v>830</v>
      </c>
      <c r="L70" s="1" t="s">
        <v>51</v>
      </c>
      <c r="M70" s="1" t="s">
        <v>831</v>
      </c>
      <c r="N70" s="1" t="s">
        <v>832</v>
      </c>
      <c r="O70" s="1" t="s">
        <v>832</v>
      </c>
      <c r="P70" s="1" t="s">
        <v>94</v>
      </c>
      <c r="Q70" s="1" t="s">
        <v>95</v>
      </c>
      <c r="R70" s="1" t="s">
        <v>833</v>
      </c>
      <c r="S70" s="1" t="s">
        <v>834</v>
      </c>
      <c r="T70" s="1" t="s">
        <v>57</v>
      </c>
      <c r="W70" s="1" t="s">
        <v>550</v>
      </c>
    </row>
    <row r="71" ht="15.75" customHeight="1">
      <c r="A71" s="1" t="s">
        <v>835</v>
      </c>
      <c r="B71" s="1" t="s">
        <v>144</v>
      </c>
      <c r="C71" s="1" t="s">
        <v>835</v>
      </c>
      <c r="D71" s="1" t="s">
        <v>836</v>
      </c>
      <c r="E71" s="1" t="s">
        <v>573</v>
      </c>
      <c r="F71" s="1" t="s">
        <v>837</v>
      </c>
      <c r="G71" s="1" t="s">
        <v>67</v>
      </c>
      <c r="H71" s="1" t="s">
        <v>68</v>
      </c>
      <c r="I71" s="10">
        <v>30463.0</v>
      </c>
      <c r="J71" s="1" t="s">
        <v>838</v>
      </c>
      <c r="K71" s="1" t="s">
        <v>839</v>
      </c>
      <c r="L71" s="1" t="s">
        <v>51</v>
      </c>
      <c r="M71" s="1" t="s">
        <v>840</v>
      </c>
      <c r="N71" s="1" t="s">
        <v>68</v>
      </c>
      <c r="O71" s="1" t="s">
        <v>68</v>
      </c>
      <c r="P71" s="1" t="s">
        <v>53</v>
      </c>
      <c r="Q71" s="1" t="s">
        <v>54</v>
      </c>
      <c r="R71" s="1" t="s">
        <v>841</v>
      </c>
      <c r="S71" s="1" t="s">
        <v>145</v>
      </c>
      <c r="T71" s="1" t="s">
        <v>57</v>
      </c>
      <c r="W71" s="1" t="s">
        <v>836</v>
      </c>
    </row>
    <row r="72" ht="15.75" customHeight="1">
      <c r="A72" s="1" t="s">
        <v>842</v>
      </c>
      <c r="B72" s="1" t="s">
        <v>199</v>
      </c>
      <c r="C72" s="1" t="s">
        <v>842</v>
      </c>
      <c r="D72" s="1" t="s">
        <v>843</v>
      </c>
      <c r="E72" s="1" t="s">
        <v>844</v>
      </c>
      <c r="F72" s="1" t="s">
        <v>845</v>
      </c>
      <c r="G72" s="1" t="s">
        <v>67</v>
      </c>
      <c r="H72" s="1" t="s">
        <v>68</v>
      </c>
      <c r="I72" s="10">
        <v>26752.0</v>
      </c>
      <c r="J72" s="1" t="s">
        <v>846</v>
      </c>
      <c r="K72" s="1" t="s">
        <v>847</v>
      </c>
      <c r="L72" s="1" t="s">
        <v>51</v>
      </c>
      <c r="M72" s="1" t="s">
        <v>848</v>
      </c>
      <c r="N72" s="1" t="s">
        <v>68</v>
      </c>
      <c r="O72" s="1" t="s">
        <v>68</v>
      </c>
      <c r="P72" s="1" t="s">
        <v>53</v>
      </c>
      <c r="Q72" s="1" t="s">
        <v>54</v>
      </c>
      <c r="R72" s="1" t="s">
        <v>849</v>
      </c>
      <c r="S72" s="1" t="s">
        <v>615</v>
      </c>
      <c r="T72" s="1" t="s">
        <v>57</v>
      </c>
      <c r="W72" s="1" t="s">
        <v>128</v>
      </c>
    </row>
    <row r="73" ht="15.75" customHeight="1">
      <c r="A73" s="1" t="s">
        <v>850</v>
      </c>
      <c r="B73" s="1" t="s">
        <v>183</v>
      </c>
      <c r="C73" s="1" t="s">
        <v>850</v>
      </c>
      <c r="D73" s="1" t="s">
        <v>851</v>
      </c>
      <c r="E73" s="1" t="s">
        <v>852</v>
      </c>
      <c r="F73" s="1" t="s">
        <v>853</v>
      </c>
      <c r="G73" s="1" t="s">
        <v>854</v>
      </c>
      <c r="H73" s="1" t="s">
        <v>174</v>
      </c>
      <c r="I73" s="10">
        <v>32168.0</v>
      </c>
      <c r="J73" s="1" t="s">
        <v>855</v>
      </c>
      <c r="K73" s="1" t="s">
        <v>856</v>
      </c>
      <c r="L73" s="1" t="s">
        <v>90</v>
      </c>
      <c r="M73" s="1" t="s">
        <v>857</v>
      </c>
      <c r="N73" s="1" t="s">
        <v>174</v>
      </c>
      <c r="O73" s="1" t="s">
        <v>174</v>
      </c>
      <c r="P73" s="1" t="s">
        <v>94</v>
      </c>
      <c r="Q73" s="1" t="s">
        <v>95</v>
      </c>
      <c r="R73" s="1" t="s">
        <v>858</v>
      </c>
      <c r="S73" s="1" t="s">
        <v>815</v>
      </c>
      <c r="T73" s="1" t="s">
        <v>57</v>
      </c>
      <c r="W73" s="1" t="s">
        <v>859</v>
      </c>
    </row>
    <row r="74" ht="15.75" customHeight="1">
      <c r="A74" s="1" t="s">
        <v>860</v>
      </c>
      <c r="B74" s="1" t="s">
        <v>219</v>
      </c>
      <c r="C74" s="1" t="s">
        <v>860</v>
      </c>
      <c r="D74" s="1" t="s">
        <v>861</v>
      </c>
      <c r="E74" s="1" t="s">
        <v>862</v>
      </c>
      <c r="F74" s="1" t="s">
        <v>863</v>
      </c>
      <c r="G74" s="1" t="s">
        <v>620</v>
      </c>
      <c r="H74" s="1" t="s">
        <v>68</v>
      </c>
      <c r="I74" s="10">
        <v>30460.0</v>
      </c>
      <c r="J74" s="1" t="s">
        <v>864</v>
      </c>
      <c r="K74" s="1" t="s">
        <v>865</v>
      </c>
      <c r="L74" s="1" t="s">
        <v>90</v>
      </c>
      <c r="M74" s="1" t="s">
        <v>866</v>
      </c>
      <c r="N74" s="1" t="s">
        <v>68</v>
      </c>
      <c r="O74" s="1" t="s">
        <v>68</v>
      </c>
      <c r="P74" s="1" t="s">
        <v>53</v>
      </c>
      <c r="Q74" s="1" t="s">
        <v>54</v>
      </c>
      <c r="R74" s="1" t="s">
        <v>867</v>
      </c>
      <c r="S74" s="1" t="s">
        <v>145</v>
      </c>
      <c r="T74" s="1" t="s">
        <v>57</v>
      </c>
    </row>
    <row r="75" ht="15.75" customHeight="1">
      <c r="A75" s="1" t="s">
        <v>868</v>
      </c>
      <c r="B75" s="1" t="s">
        <v>313</v>
      </c>
      <c r="C75" s="1" t="s">
        <v>868</v>
      </c>
      <c r="D75" s="1" t="s">
        <v>869</v>
      </c>
      <c r="E75" s="1" t="s">
        <v>870</v>
      </c>
      <c r="F75" s="1" t="s">
        <v>871</v>
      </c>
      <c r="G75" s="1" t="s">
        <v>463</v>
      </c>
      <c r="H75" s="1" t="s">
        <v>174</v>
      </c>
      <c r="I75" s="10">
        <v>29813.0</v>
      </c>
      <c r="J75" s="1" t="s">
        <v>872</v>
      </c>
      <c r="K75" s="1" t="s">
        <v>873</v>
      </c>
      <c r="L75" s="1" t="s">
        <v>90</v>
      </c>
      <c r="M75" s="1" t="s">
        <v>874</v>
      </c>
      <c r="N75" s="1" t="s">
        <v>501</v>
      </c>
      <c r="O75" s="1" t="s">
        <v>501</v>
      </c>
      <c r="P75" s="1" t="s">
        <v>94</v>
      </c>
      <c r="Q75" s="1" t="s">
        <v>95</v>
      </c>
      <c r="R75" s="1" t="s">
        <v>875</v>
      </c>
      <c r="S75" s="1" t="s">
        <v>471</v>
      </c>
      <c r="T75" s="1" t="s">
        <v>57</v>
      </c>
      <c r="W75" s="1" t="s">
        <v>876</v>
      </c>
    </row>
    <row r="76" ht="15.75" customHeight="1">
      <c r="A76" s="1" t="s">
        <v>877</v>
      </c>
      <c r="B76" s="1" t="s">
        <v>30</v>
      </c>
      <c r="C76" s="1" t="s">
        <v>877</v>
      </c>
      <c r="D76" s="1" t="s">
        <v>878</v>
      </c>
      <c r="E76" s="1" t="s">
        <v>879</v>
      </c>
      <c r="F76" s="1" t="s">
        <v>880</v>
      </c>
      <c r="G76" s="1" t="s">
        <v>496</v>
      </c>
      <c r="H76" s="1" t="s">
        <v>174</v>
      </c>
      <c r="I76" s="10">
        <v>35338.0</v>
      </c>
      <c r="J76" s="1" t="s">
        <v>881</v>
      </c>
      <c r="K76" s="1" t="s">
        <v>882</v>
      </c>
      <c r="L76" s="1" t="s">
        <v>51</v>
      </c>
      <c r="M76" s="1" t="s">
        <v>883</v>
      </c>
      <c r="N76" s="1" t="s">
        <v>179</v>
      </c>
      <c r="O76" s="1" t="s">
        <v>179</v>
      </c>
      <c r="P76" s="1" t="s">
        <v>94</v>
      </c>
      <c r="Q76" s="1" t="s">
        <v>95</v>
      </c>
      <c r="R76" s="1" t="s">
        <v>884</v>
      </c>
      <c r="S76" s="1" t="s">
        <v>815</v>
      </c>
      <c r="T76" s="1" t="s">
        <v>57</v>
      </c>
      <c r="W76" s="1" t="s">
        <v>885</v>
      </c>
    </row>
    <row r="77" ht="15.75" customHeight="1">
      <c r="A77" s="1" t="s">
        <v>886</v>
      </c>
      <c r="B77" s="1" t="s">
        <v>122</v>
      </c>
      <c r="C77" s="1" t="s">
        <v>886</v>
      </c>
      <c r="D77" s="1" t="s">
        <v>887</v>
      </c>
      <c r="E77" s="1" t="s">
        <v>888</v>
      </c>
      <c r="F77" s="1" t="s">
        <v>889</v>
      </c>
      <c r="G77" s="1" t="s">
        <v>173</v>
      </c>
      <c r="H77" s="1" t="s">
        <v>174</v>
      </c>
      <c r="I77" s="10">
        <v>34726.0</v>
      </c>
      <c r="J77" s="1" t="s">
        <v>890</v>
      </c>
      <c r="K77" s="1" t="s">
        <v>891</v>
      </c>
      <c r="L77" s="1" t="s">
        <v>51</v>
      </c>
      <c r="M77" s="1" t="s">
        <v>892</v>
      </c>
      <c r="N77" s="1" t="s">
        <v>179</v>
      </c>
      <c r="O77" s="1" t="s">
        <v>179</v>
      </c>
      <c r="P77" s="1" t="s">
        <v>94</v>
      </c>
      <c r="Q77" s="1" t="s">
        <v>95</v>
      </c>
      <c r="R77" s="1" t="s">
        <v>893</v>
      </c>
      <c r="S77" s="1" t="s">
        <v>815</v>
      </c>
      <c r="T77" s="1" t="s">
        <v>57</v>
      </c>
      <c r="W77" s="1" t="s">
        <v>894</v>
      </c>
    </row>
    <row r="78" ht="15.75" customHeight="1">
      <c r="A78" s="1" t="s">
        <v>895</v>
      </c>
      <c r="B78" s="1" t="s">
        <v>263</v>
      </c>
      <c r="C78" s="1" t="s">
        <v>895</v>
      </c>
      <c r="D78" s="1" t="s">
        <v>617</v>
      </c>
      <c r="E78" s="1" t="s">
        <v>896</v>
      </c>
      <c r="F78" s="1" t="s">
        <v>897</v>
      </c>
      <c r="G78" s="1" t="s">
        <v>447</v>
      </c>
      <c r="H78" s="1" t="s">
        <v>47</v>
      </c>
      <c r="I78" s="10">
        <v>25898.0</v>
      </c>
      <c r="J78" s="1" t="s">
        <v>898</v>
      </c>
      <c r="K78" s="1" t="s">
        <v>899</v>
      </c>
      <c r="L78" s="1" t="s">
        <v>90</v>
      </c>
      <c r="M78" s="1" t="s">
        <v>900</v>
      </c>
      <c r="N78" s="1" t="s">
        <v>47</v>
      </c>
      <c r="O78" s="1" t="s">
        <v>47</v>
      </c>
      <c r="P78" s="1" t="s">
        <v>53</v>
      </c>
      <c r="Q78" s="1" t="s">
        <v>54</v>
      </c>
      <c r="R78" s="1" t="s">
        <v>901</v>
      </c>
      <c r="S78" s="1" t="s">
        <v>380</v>
      </c>
      <c r="T78" s="1" t="s">
        <v>57</v>
      </c>
      <c r="W78" s="1" t="s">
        <v>617</v>
      </c>
    </row>
    <row r="79" ht="15.75" customHeight="1">
      <c r="A79" s="1" t="s">
        <v>902</v>
      </c>
      <c r="B79" s="1" t="s">
        <v>486</v>
      </c>
      <c r="C79" s="1" t="s">
        <v>902</v>
      </c>
      <c r="D79" s="1" t="s">
        <v>903</v>
      </c>
      <c r="E79" s="1" t="s">
        <v>904</v>
      </c>
      <c r="F79" s="1" t="s">
        <v>666</v>
      </c>
      <c r="G79" s="1" t="s">
        <v>905</v>
      </c>
      <c r="H79" s="1" t="s">
        <v>273</v>
      </c>
      <c r="I79" s="10">
        <v>26382.0</v>
      </c>
      <c r="J79" s="1" t="s">
        <v>906</v>
      </c>
      <c r="K79" s="1" t="s">
        <v>907</v>
      </c>
      <c r="L79" s="1" t="s">
        <v>51</v>
      </c>
      <c r="M79" s="1" t="s">
        <v>908</v>
      </c>
      <c r="N79" s="1" t="s">
        <v>273</v>
      </c>
      <c r="O79" s="1" t="s">
        <v>273</v>
      </c>
      <c r="P79" s="1" t="s">
        <v>53</v>
      </c>
      <c r="Q79" s="1" t="s">
        <v>54</v>
      </c>
      <c r="R79" s="1" t="s">
        <v>909</v>
      </c>
      <c r="S79" s="1" t="s">
        <v>561</v>
      </c>
      <c r="T79" s="1" t="s">
        <v>57</v>
      </c>
      <c r="W79" s="1" t="s">
        <v>910</v>
      </c>
    </row>
    <row r="80" ht="15.75" customHeight="1">
      <c r="A80" s="1" t="s">
        <v>911</v>
      </c>
      <c r="B80" s="1" t="s">
        <v>140</v>
      </c>
      <c r="C80" s="1" t="s">
        <v>911</v>
      </c>
      <c r="D80" s="1" t="s">
        <v>912</v>
      </c>
      <c r="E80" s="1" t="s">
        <v>913</v>
      </c>
      <c r="F80" s="1" t="s">
        <v>914</v>
      </c>
      <c r="G80" s="1" t="s">
        <v>173</v>
      </c>
      <c r="H80" s="1" t="s">
        <v>174</v>
      </c>
      <c r="I80" s="10">
        <v>36285.0</v>
      </c>
      <c r="J80" s="1" t="s">
        <v>915</v>
      </c>
      <c r="K80" s="1" t="s">
        <v>916</v>
      </c>
      <c r="L80" s="1" t="s">
        <v>90</v>
      </c>
      <c r="M80" s="1" t="s">
        <v>917</v>
      </c>
      <c r="N80" s="1" t="s">
        <v>179</v>
      </c>
      <c r="O80" s="1" t="s">
        <v>179</v>
      </c>
      <c r="P80" s="1" t="s">
        <v>94</v>
      </c>
      <c r="Q80" s="1" t="s">
        <v>95</v>
      </c>
      <c r="R80" s="1" t="s">
        <v>918</v>
      </c>
      <c r="S80" s="1" t="s">
        <v>427</v>
      </c>
      <c r="T80" s="1" t="s">
        <v>57</v>
      </c>
      <c r="W80" s="1" t="s">
        <v>580</v>
      </c>
    </row>
    <row r="81" ht="15.75" customHeight="1">
      <c r="A81" s="1" t="s">
        <v>919</v>
      </c>
      <c r="B81" s="1" t="s">
        <v>188</v>
      </c>
      <c r="C81" s="1" t="s">
        <v>919</v>
      </c>
      <c r="D81" s="1" t="s">
        <v>920</v>
      </c>
      <c r="E81" s="1" t="s">
        <v>921</v>
      </c>
      <c r="F81" s="1" t="s">
        <v>922</v>
      </c>
      <c r="G81" s="1" t="s">
        <v>305</v>
      </c>
      <c r="H81" s="1" t="s">
        <v>68</v>
      </c>
      <c r="I81" s="10">
        <v>30333.0</v>
      </c>
      <c r="J81" s="1" t="s">
        <v>923</v>
      </c>
      <c r="K81" s="1" t="s">
        <v>924</v>
      </c>
      <c r="L81" s="1" t="s">
        <v>90</v>
      </c>
      <c r="M81" s="1" t="s">
        <v>925</v>
      </c>
      <c r="N81" s="1" t="s">
        <v>68</v>
      </c>
      <c r="O81" s="1" t="s">
        <v>68</v>
      </c>
      <c r="P81" s="1" t="s">
        <v>53</v>
      </c>
      <c r="Q81" s="1" t="s">
        <v>54</v>
      </c>
      <c r="R81" s="1" t="s">
        <v>926</v>
      </c>
      <c r="S81" s="1" t="s">
        <v>97</v>
      </c>
      <c r="T81" s="1" t="s">
        <v>57</v>
      </c>
    </row>
    <row r="82" ht="15.75" customHeight="1">
      <c r="A82" s="1" t="s">
        <v>927</v>
      </c>
      <c r="B82" s="1" t="s">
        <v>502</v>
      </c>
      <c r="C82" s="1" t="s">
        <v>927</v>
      </c>
      <c r="D82" s="1" t="s">
        <v>928</v>
      </c>
      <c r="E82" s="1" t="s">
        <v>929</v>
      </c>
      <c r="F82" s="1" t="s">
        <v>930</v>
      </c>
      <c r="G82" s="1" t="s">
        <v>931</v>
      </c>
      <c r="H82" s="1" t="s">
        <v>174</v>
      </c>
      <c r="I82" s="10">
        <v>35240.0</v>
      </c>
      <c r="J82" s="1" t="s">
        <v>932</v>
      </c>
      <c r="K82" s="1" t="s">
        <v>933</v>
      </c>
      <c r="L82" s="1" t="s">
        <v>90</v>
      </c>
      <c r="M82" s="1" t="s">
        <v>934</v>
      </c>
      <c r="N82" s="1" t="s">
        <v>392</v>
      </c>
      <c r="O82" s="1" t="s">
        <v>392</v>
      </c>
      <c r="P82" s="1" t="s">
        <v>94</v>
      </c>
      <c r="Q82" s="1" t="s">
        <v>95</v>
      </c>
      <c r="R82" s="1" t="s">
        <v>935</v>
      </c>
      <c r="S82" s="1" t="s">
        <v>145</v>
      </c>
      <c r="T82" s="1" t="s">
        <v>57</v>
      </c>
      <c r="W82" s="1" t="s">
        <v>936</v>
      </c>
    </row>
    <row r="83" ht="15.75" customHeight="1">
      <c r="A83" s="1" t="s">
        <v>937</v>
      </c>
      <c r="B83" s="1" t="s">
        <v>127</v>
      </c>
      <c r="C83" s="1" t="s">
        <v>937</v>
      </c>
      <c r="D83" s="1" t="s">
        <v>938</v>
      </c>
      <c r="E83" s="1" t="s">
        <v>922</v>
      </c>
      <c r="F83" s="1" t="s">
        <v>939</v>
      </c>
      <c r="G83" s="1" t="s">
        <v>584</v>
      </c>
      <c r="H83" s="1" t="s">
        <v>47</v>
      </c>
      <c r="I83" s="10">
        <v>37133.0</v>
      </c>
      <c r="J83" s="1" t="s">
        <v>940</v>
      </c>
      <c r="K83" s="1" t="s">
        <v>941</v>
      </c>
      <c r="L83" s="1" t="s">
        <v>90</v>
      </c>
      <c r="M83" s="1" t="s">
        <v>942</v>
      </c>
      <c r="N83" s="1" t="s">
        <v>47</v>
      </c>
      <c r="O83" s="1" t="s">
        <v>47</v>
      </c>
      <c r="P83" s="1" t="s">
        <v>53</v>
      </c>
      <c r="Q83" s="1" t="s">
        <v>54</v>
      </c>
      <c r="R83" s="1" t="s">
        <v>943</v>
      </c>
      <c r="S83" s="1" t="s">
        <v>76</v>
      </c>
      <c r="T83" s="1" t="s">
        <v>57</v>
      </c>
    </row>
    <row r="84" ht="15.75" customHeight="1">
      <c r="A84" s="1" t="s">
        <v>944</v>
      </c>
      <c r="B84" s="1" t="s">
        <v>945</v>
      </c>
      <c r="C84" s="1" t="s">
        <v>944</v>
      </c>
      <c r="D84" s="1" t="s">
        <v>946</v>
      </c>
      <c r="E84" s="1" t="s">
        <v>528</v>
      </c>
      <c r="F84" s="1" t="s">
        <v>947</v>
      </c>
      <c r="G84" s="1" t="s">
        <v>948</v>
      </c>
      <c r="H84" s="1" t="s">
        <v>273</v>
      </c>
      <c r="I84" s="10">
        <v>26446.0</v>
      </c>
      <c r="J84" s="1" t="s">
        <v>949</v>
      </c>
      <c r="K84" s="1" t="s">
        <v>950</v>
      </c>
      <c r="L84" s="1" t="s">
        <v>90</v>
      </c>
      <c r="M84" s="1" t="s">
        <v>951</v>
      </c>
      <c r="N84" s="1" t="s">
        <v>273</v>
      </c>
      <c r="O84" s="1" t="s">
        <v>273</v>
      </c>
      <c r="P84" s="1" t="s">
        <v>94</v>
      </c>
      <c r="Q84" s="1" t="s">
        <v>95</v>
      </c>
      <c r="R84" s="1" t="s">
        <v>952</v>
      </c>
      <c r="S84" s="1" t="s">
        <v>412</v>
      </c>
      <c r="T84" s="1" t="s">
        <v>57</v>
      </c>
    </row>
    <row r="85" ht="15.75" customHeight="1">
      <c r="A85" s="1" t="s">
        <v>953</v>
      </c>
      <c r="B85" s="1" t="s">
        <v>252</v>
      </c>
      <c r="C85" s="1" t="s">
        <v>953</v>
      </c>
      <c r="D85" s="1" t="s">
        <v>826</v>
      </c>
      <c r="E85" s="1" t="s">
        <v>947</v>
      </c>
      <c r="F85" s="1" t="s">
        <v>954</v>
      </c>
      <c r="G85" s="1" t="s">
        <v>463</v>
      </c>
      <c r="H85" s="1" t="s">
        <v>174</v>
      </c>
      <c r="I85" s="10">
        <v>36110.0</v>
      </c>
      <c r="J85" s="1" t="s">
        <v>955</v>
      </c>
      <c r="K85" s="1" t="s">
        <v>956</v>
      </c>
      <c r="L85" s="1" t="s">
        <v>51</v>
      </c>
      <c r="M85" s="1" t="s">
        <v>957</v>
      </c>
      <c r="N85" s="1" t="s">
        <v>468</v>
      </c>
      <c r="O85" s="1" t="s">
        <v>468</v>
      </c>
      <c r="P85" s="1" t="s">
        <v>94</v>
      </c>
      <c r="Q85" s="1" t="s">
        <v>95</v>
      </c>
      <c r="R85" s="1" t="s">
        <v>958</v>
      </c>
      <c r="S85" s="1" t="s">
        <v>56</v>
      </c>
      <c r="T85" s="1" t="s">
        <v>57</v>
      </c>
      <c r="W85" s="1" t="s">
        <v>550</v>
      </c>
    </row>
    <row r="86" ht="15.75" customHeight="1">
      <c r="A86" s="1" t="s">
        <v>959</v>
      </c>
      <c r="B86" s="1" t="s">
        <v>234</v>
      </c>
      <c r="C86" s="1" t="s">
        <v>959</v>
      </c>
      <c r="D86" s="1" t="s">
        <v>960</v>
      </c>
      <c r="E86" s="1" t="s">
        <v>961</v>
      </c>
      <c r="F86" s="1" t="s">
        <v>962</v>
      </c>
      <c r="G86" s="1" t="s">
        <v>136</v>
      </c>
      <c r="H86" s="1" t="s">
        <v>68</v>
      </c>
      <c r="I86" s="10">
        <v>34051.0</v>
      </c>
      <c r="J86" s="1" t="s">
        <v>963</v>
      </c>
      <c r="K86" s="1" t="s">
        <v>964</v>
      </c>
      <c r="L86" s="1" t="s">
        <v>90</v>
      </c>
      <c r="M86" s="1" t="s">
        <v>966</v>
      </c>
      <c r="N86" s="1" t="s">
        <v>68</v>
      </c>
      <c r="O86" s="1" t="s">
        <v>68</v>
      </c>
      <c r="P86" s="1" t="s">
        <v>94</v>
      </c>
      <c r="Q86" s="1" t="s">
        <v>95</v>
      </c>
      <c r="R86" s="1" t="s">
        <v>967</v>
      </c>
      <c r="S86" s="1" t="s">
        <v>412</v>
      </c>
      <c r="T86" s="1" t="s">
        <v>57</v>
      </c>
      <c r="W86" s="1" t="s">
        <v>968</v>
      </c>
    </row>
    <row r="87" ht="15.75" customHeight="1">
      <c r="A87" s="1" t="s">
        <v>969</v>
      </c>
      <c r="B87" s="1" t="s">
        <v>494</v>
      </c>
      <c r="C87" s="1" t="s">
        <v>969</v>
      </c>
      <c r="D87" s="1" t="s">
        <v>970</v>
      </c>
      <c r="E87" s="1" t="s">
        <v>971</v>
      </c>
      <c r="F87" s="1" t="s">
        <v>765</v>
      </c>
      <c r="G87" s="1" t="s">
        <v>810</v>
      </c>
      <c r="H87" s="1" t="s">
        <v>273</v>
      </c>
      <c r="I87" s="10">
        <v>29082.0</v>
      </c>
      <c r="J87" s="1" t="s">
        <v>972</v>
      </c>
      <c r="K87" s="1" t="s">
        <v>973</v>
      </c>
      <c r="L87" s="1" t="s">
        <v>90</v>
      </c>
      <c r="M87" s="1" t="s">
        <v>974</v>
      </c>
      <c r="N87" s="1" t="s">
        <v>273</v>
      </c>
      <c r="O87" s="1" t="s">
        <v>273</v>
      </c>
      <c r="P87" s="1" t="s">
        <v>94</v>
      </c>
      <c r="Q87" s="1" t="s">
        <v>95</v>
      </c>
      <c r="R87" s="1" t="s">
        <v>975</v>
      </c>
      <c r="S87" s="1" t="s">
        <v>815</v>
      </c>
      <c r="T87" s="1" t="s">
        <v>57</v>
      </c>
      <c r="W87" s="1" t="s">
        <v>970</v>
      </c>
    </row>
    <row r="88" ht="15.75" customHeight="1">
      <c r="A88" s="1" t="s">
        <v>976</v>
      </c>
      <c r="B88" s="1" t="s">
        <v>256</v>
      </c>
      <c r="C88" s="1" t="s">
        <v>976</v>
      </c>
      <c r="D88" s="1" t="s">
        <v>977</v>
      </c>
      <c r="E88" s="1" t="s">
        <v>978</v>
      </c>
      <c r="F88" s="1" t="s">
        <v>721</v>
      </c>
      <c r="G88" s="1" t="s">
        <v>518</v>
      </c>
      <c r="H88" s="1" t="s">
        <v>68</v>
      </c>
      <c r="I88" s="10">
        <v>36473.0</v>
      </c>
      <c r="J88" s="1" t="s">
        <v>979</v>
      </c>
      <c r="K88" s="1" t="s">
        <v>980</v>
      </c>
      <c r="L88" s="1" t="s">
        <v>51</v>
      </c>
      <c r="M88" s="1" t="s">
        <v>981</v>
      </c>
      <c r="N88" s="1" t="s">
        <v>68</v>
      </c>
      <c r="O88" s="1" t="s">
        <v>68</v>
      </c>
      <c r="P88" s="1" t="s">
        <v>94</v>
      </c>
      <c r="Q88" s="1" t="s">
        <v>95</v>
      </c>
      <c r="R88" s="1" t="s">
        <v>982</v>
      </c>
      <c r="S88" s="1" t="s">
        <v>615</v>
      </c>
      <c r="T88" s="1" t="s">
        <v>57</v>
      </c>
      <c r="W88" s="1" t="s">
        <v>983</v>
      </c>
    </row>
    <row r="89" ht="15.75" customHeight="1">
      <c r="A89" s="1" t="s">
        <v>984</v>
      </c>
      <c r="B89" s="1" t="s">
        <v>985</v>
      </c>
      <c r="C89" s="1" t="s">
        <v>984</v>
      </c>
      <c r="D89" s="1" t="s">
        <v>986</v>
      </c>
      <c r="E89" s="1" t="s">
        <v>987</v>
      </c>
      <c r="F89" s="1" t="s">
        <v>987</v>
      </c>
      <c r="G89" s="1" t="s">
        <v>948</v>
      </c>
      <c r="H89" s="1" t="s">
        <v>273</v>
      </c>
      <c r="I89" s="10">
        <v>29543.0</v>
      </c>
      <c r="J89" s="1" t="s">
        <v>988</v>
      </c>
      <c r="K89" s="1" t="s">
        <v>989</v>
      </c>
      <c r="L89" s="1" t="s">
        <v>51</v>
      </c>
      <c r="M89" s="1" t="s">
        <v>990</v>
      </c>
      <c r="N89" s="1" t="s">
        <v>273</v>
      </c>
      <c r="O89" s="1" t="s">
        <v>273</v>
      </c>
      <c r="P89" s="1" t="s">
        <v>94</v>
      </c>
      <c r="Q89" s="1" t="s">
        <v>95</v>
      </c>
      <c r="R89" s="1" t="s">
        <v>991</v>
      </c>
      <c r="S89" s="1" t="s">
        <v>380</v>
      </c>
      <c r="T89" s="1" t="s">
        <v>57</v>
      </c>
      <c r="W89" s="1" t="s">
        <v>992</v>
      </c>
    </row>
    <row r="90" ht="15.75" customHeight="1">
      <c r="A90" s="1" t="s">
        <v>993</v>
      </c>
      <c r="B90" s="1" t="s">
        <v>148</v>
      </c>
      <c r="C90" s="1" t="s">
        <v>993</v>
      </c>
      <c r="D90" s="1" t="s">
        <v>994</v>
      </c>
      <c r="E90" s="1" t="s">
        <v>995</v>
      </c>
      <c r="F90" s="1" t="s">
        <v>996</v>
      </c>
      <c r="G90" s="1" t="s">
        <v>463</v>
      </c>
      <c r="H90" s="1" t="s">
        <v>174</v>
      </c>
      <c r="I90" s="10">
        <v>31956.0</v>
      </c>
      <c r="J90" s="1" t="s">
        <v>997</v>
      </c>
      <c r="K90" s="1" t="s">
        <v>998</v>
      </c>
      <c r="L90" s="1" t="s">
        <v>51</v>
      </c>
      <c r="M90" s="1" t="s">
        <v>999</v>
      </c>
      <c r="N90" s="1" t="s">
        <v>174</v>
      </c>
      <c r="O90" s="1" t="s">
        <v>174</v>
      </c>
      <c r="P90" s="1" t="s">
        <v>94</v>
      </c>
      <c r="Q90" s="1" t="s">
        <v>95</v>
      </c>
      <c r="R90" s="1" t="s">
        <v>1000</v>
      </c>
      <c r="S90" s="1" t="s">
        <v>615</v>
      </c>
      <c r="T90" s="1" t="s">
        <v>57</v>
      </c>
      <c r="W90" s="1" t="s">
        <v>1001</v>
      </c>
    </row>
    <row r="91" ht="15.75" customHeight="1">
      <c r="A91" s="1" t="s">
        <v>1002</v>
      </c>
      <c r="B91" s="1" t="s">
        <v>133</v>
      </c>
      <c r="C91" s="1" t="s">
        <v>1002</v>
      </c>
      <c r="D91" s="1" t="s">
        <v>1003</v>
      </c>
      <c r="E91" s="1" t="s">
        <v>1004</v>
      </c>
      <c r="F91" s="1" t="s">
        <v>117</v>
      </c>
      <c r="G91" s="1" t="s">
        <v>118</v>
      </c>
      <c r="H91" s="1" t="s">
        <v>47</v>
      </c>
      <c r="I91" s="10">
        <v>31006.0</v>
      </c>
      <c r="J91" s="1" t="s">
        <v>1005</v>
      </c>
      <c r="K91" s="1" t="s">
        <v>1006</v>
      </c>
      <c r="L91" s="1" t="s">
        <v>51</v>
      </c>
      <c r="M91" s="1" t="s">
        <v>1007</v>
      </c>
      <c r="N91" s="1" t="s">
        <v>47</v>
      </c>
      <c r="O91" s="1" t="s">
        <v>47</v>
      </c>
      <c r="P91" s="1" t="s">
        <v>53</v>
      </c>
      <c r="Q91" s="1" t="s">
        <v>54</v>
      </c>
      <c r="R91" s="1" t="s">
        <v>1008</v>
      </c>
      <c r="S91" s="1" t="s">
        <v>145</v>
      </c>
      <c r="T91" s="1" t="s">
        <v>57</v>
      </c>
      <c r="W91" s="1" t="s">
        <v>550</v>
      </c>
    </row>
    <row r="92" ht="15.75" customHeight="1">
      <c r="A92" s="1" t="s">
        <v>1009</v>
      </c>
      <c r="B92" s="1" t="s">
        <v>1010</v>
      </c>
      <c r="C92" s="1" t="s">
        <v>1009</v>
      </c>
      <c r="D92" s="1" t="s">
        <v>1011</v>
      </c>
      <c r="E92" s="1" t="s">
        <v>1012</v>
      </c>
      <c r="F92" s="1" t="s">
        <v>1013</v>
      </c>
      <c r="G92" s="1" t="s">
        <v>948</v>
      </c>
      <c r="H92" s="1" t="s">
        <v>273</v>
      </c>
      <c r="I92" s="10">
        <v>36646.0</v>
      </c>
      <c r="J92" s="1" t="s">
        <v>1014</v>
      </c>
      <c r="K92" s="1" t="s">
        <v>1015</v>
      </c>
      <c r="L92" s="1" t="s">
        <v>51</v>
      </c>
      <c r="M92" s="1" t="s">
        <v>1016</v>
      </c>
      <c r="N92" s="1" t="s">
        <v>273</v>
      </c>
      <c r="O92" s="1" t="s">
        <v>273</v>
      </c>
      <c r="P92" s="1" t="s">
        <v>94</v>
      </c>
      <c r="Q92" s="1" t="s">
        <v>95</v>
      </c>
      <c r="R92" s="1" t="s">
        <v>1017</v>
      </c>
      <c r="S92" s="1" t="s">
        <v>625</v>
      </c>
      <c r="T92" s="1" t="s">
        <v>57</v>
      </c>
      <c r="W92" s="1" t="s">
        <v>550</v>
      </c>
    </row>
    <row r="93" ht="15.75" customHeight="1">
      <c r="A93" s="1" t="s">
        <v>1018</v>
      </c>
      <c r="B93" s="1" t="s">
        <v>1019</v>
      </c>
      <c r="C93" s="1" t="s">
        <v>1018</v>
      </c>
      <c r="D93" s="1" t="s">
        <v>1020</v>
      </c>
      <c r="E93" s="1" t="s">
        <v>1021</v>
      </c>
      <c r="F93" s="1" t="s">
        <v>1022</v>
      </c>
      <c r="G93" s="1" t="s">
        <v>337</v>
      </c>
      <c r="H93" s="1" t="s">
        <v>86</v>
      </c>
      <c r="I93" s="10">
        <v>24229.0</v>
      </c>
      <c r="J93" s="1" t="s">
        <v>1023</v>
      </c>
      <c r="K93" s="1" t="s">
        <v>1024</v>
      </c>
      <c r="L93" s="1" t="s">
        <v>51</v>
      </c>
      <c r="M93" s="1" t="s">
        <v>1025</v>
      </c>
      <c r="N93" s="1" t="s">
        <v>108</v>
      </c>
      <c r="O93" s="1" t="s">
        <v>108</v>
      </c>
      <c r="P93" s="1" t="s">
        <v>94</v>
      </c>
      <c r="Q93" s="1" t="s">
        <v>95</v>
      </c>
      <c r="R93" s="1" t="s">
        <v>1026</v>
      </c>
      <c r="S93" s="1" t="s">
        <v>834</v>
      </c>
      <c r="T93" s="1" t="s">
        <v>57</v>
      </c>
      <c r="W93" s="1" t="s">
        <v>1020</v>
      </c>
    </row>
    <row r="94" ht="15.75" customHeight="1">
      <c r="A94" s="1" t="s">
        <v>1027</v>
      </c>
      <c r="B94" s="1" t="s">
        <v>1028</v>
      </c>
      <c r="C94" s="1" t="s">
        <v>1027</v>
      </c>
      <c r="D94" s="1" t="s">
        <v>1029</v>
      </c>
      <c r="E94" s="1" t="s">
        <v>1030</v>
      </c>
      <c r="F94" s="1" t="s">
        <v>1031</v>
      </c>
      <c r="G94" s="1" t="s">
        <v>810</v>
      </c>
      <c r="H94" s="1" t="s">
        <v>273</v>
      </c>
      <c r="I94" s="10">
        <v>28730.0</v>
      </c>
      <c r="J94" s="1" t="s">
        <v>1032</v>
      </c>
      <c r="K94" s="1" t="s">
        <v>1033</v>
      </c>
      <c r="L94" s="1" t="s">
        <v>51</v>
      </c>
      <c r="M94" s="1" t="s">
        <v>1034</v>
      </c>
      <c r="N94" s="1" t="s">
        <v>273</v>
      </c>
      <c r="O94" s="1" t="s">
        <v>273</v>
      </c>
      <c r="P94" s="1" t="s">
        <v>94</v>
      </c>
      <c r="Q94" s="1" t="s">
        <v>95</v>
      </c>
      <c r="R94" s="1" t="s">
        <v>1035</v>
      </c>
      <c r="S94" s="1" t="s">
        <v>1036</v>
      </c>
      <c r="T94" s="1" t="s">
        <v>57</v>
      </c>
      <c r="W94" s="1" t="s">
        <v>1037</v>
      </c>
    </row>
    <row r="95" ht="15.75" customHeight="1">
      <c r="A95" s="1" t="s">
        <v>1038</v>
      </c>
      <c r="B95" s="1" t="s">
        <v>1039</v>
      </c>
      <c r="C95" s="1" t="s">
        <v>1038</v>
      </c>
      <c r="D95" s="1" t="s">
        <v>1040</v>
      </c>
      <c r="E95" s="1" t="s">
        <v>1041</v>
      </c>
      <c r="F95" s="1" t="s">
        <v>1042</v>
      </c>
      <c r="G95" s="1" t="s">
        <v>948</v>
      </c>
      <c r="H95" s="1" t="s">
        <v>273</v>
      </c>
      <c r="I95" s="10">
        <v>31238.0</v>
      </c>
      <c r="J95" s="1" t="s">
        <v>1043</v>
      </c>
      <c r="K95" s="1" t="s">
        <v>1044</v>
      </c>
      <c r="L95" s="1" t="s">
        <v>51</v>
      </c>
      <c r="M95" s="1" t="s">
        <v>1045</v>
      </c>
      <c r="N95" s="1" t="s">
        <v>273</v>
      </c>
      <c r="O95" s="1" t="s">
        <v>273</v>
      </c>
      <c r="P95" s="1" t="s">
        <v>94</v>
      </c>
      <c r="Q95" s="1" t="s">
        <v>95</v>
      </c>
      <c r="R95" s="1" t="s">
        <v>1046</v>
      </c>
      <c r="S95" s="1" t="s">
        <v>182</v>
      </c>
      <c r="T95" s="1" t="s">
        <v>57</v>
      </c>
      <c r="W95" s="1" t="s">
        <v>1047</v>
      </c>
    </row>
    <row r="96" ht="15.75" customHeight="1">
      <c r="A96" s="1" t="s">
        <v>1048</v>
      </c>
      <c r="B96" s="1" t="s">
        <v>481</v>
      </c>
      <c r="C96" s="1" t="s">
        <v>1048</v>
      </c>
      <c r="D96" s="1" t="s">
        <v>1049</v>
      </c>
      <c r="E96" s="1" t="s">
        <v>1050</v>
      </c>
      <c r="F96" s="1" t="s">
        <v>371</v>
      </c>
      <c r="G96" s="1" t="s">
        <v>272</v>
      </c>
      <c r="H96" s="1" t="s">
        <v>273</v>
      </c>
      <c r="I96" s="10">
        <v>28043.0</v>
      </c>
      <c r="J96" s="1" t="s">
        <v>1051</v>
      </c>
      <c r="K96" s="1" t="s">
        <v>1052</v>
      </c>
      <c r="L96" s="1" t="s">
        <v>51</v>
      </c>
      <c r="M96" s="1" t="s">
        <v>1053</v>
      </c>
      <c r="N96" s="1" t="s">
        <v>273</v>
      </c>
      <c r="O96" s="1" t="s">
        <v>273</v>
      </c>
      <c r="P96" s="1" t="s">
        <v>94</v>
      </c>
      <c r="Q96" s="1" t="s">
        <v>95</v>
      </c>
      <c r="R96" s="1" t="s">
        <v>1054</v>
      </c>
      <c r="S96" s="1" t="s">
        <v>561</v>
      </c>
      <c r="T96" s="1" t="s">
        <v>57</v>
      </c>
      <c r="W96" s="1" t="s">
        <v>885</v>
      </c>
    </row>
    <row r="97" ht="15.75" customHeight="1">
      <c r="A97" s="1" t="s">
        <v>1055</v>
      </c>
      <c r="B97" s="1" t="s">
        <v>343</v>
      </c>
      <c r="C97" s="1" t="s">
        <v>1055</v>
      </c>
      <c r="D97" s="1" t="s">
        <v>1056</v>
      </c>
      <c r="E97" s="1" t="s">
        <v>1057</v>
      </c>
      <c r="F97" s="1" t="s">
        <v>880</v>
      </c>
      <c r="G97" s="1" t="s">
        <v>305</v>
      </c>
      <c r="H97" s="1" t="s">
        <v>68</v>
      </c>
      <c r="I97" s="10">
        <v>32550.0</v>
      </c>
      <c r="J97" s="1" t="s">
        <v>1058</v>
      </c>
      <c r="K97" s="1" t="s">
        <v>1059</v>
      </c>
      <c r="L97" s="1" t="s">
        <v>51</v>
      </c>
      <c r="M97" s="1" t="s">
        <v>1060</v>
      </c>
      <c r="N97" s="1" t="s">
        <v>68</v>
      </c>
      <c r="O97" s="1" t="s">
        <v>68</v>
      </c>
      <c r="P97" s="1" t="s">
        <v>53</v>
      </c>
      <c r="Q97" s="1" t="s">
        <v>54</v>
      </c>
      <c r="R97" s="1" t="s">
        <v>1061</v>
      </c>
      <c r="S97" s="1" t="s">
        <v>56</v>
      </c>
      <c r="T97" s="1" t="s">
        <v>57</v>
      </c>
      <c r="W97" s="1" t="s">
        <v>1062</v>
      </c>
    </row>
    <row r="98" ht="15.75" customHeight="1">
      <c r="A98" s="1" t="s">
        <v>1063</v>
      </c>
      <c r="B98" s="1" t="s">
        <v>245</v>
      </c>
      <c r="C98" s="1" t="s">
        <v>1063</v>
      </c>
      <c r="D98" s="1" t="s">
        <v>1064</v>
      </c>
      <c r="E98" s="1" t="s">
        <v>1065</v>
      </c>
      <c r="F98" s="1" t="s">
        <v>1066</v>
      </c>
      <c r="G98" s="1" t="s">
        <v>305</v>
      </c>
      <c r="H98" s="1" t="s">
        <v>68</v>
      </c>
      <c r="I98" s="10">
        <v>32748.0</v>
      </c>
      <c r="J98" s="1" t="s">
        <v>1067</v>
      </c>
      <c r="K98" s="1" t="s">
        <v>1068</v>
      </c>
      <c r="L98" s="1" t="s">
        <v>90</v>
      </c>
      <c r="M98" s="1" t="s">
        <v>1069</v>
      </c>
      <c r="N98" s="1" t="s">
        <v>68</v>
      </c>
      <c r="O98" s="1" t="s">
        <v>68</v>
      </c>
      <c r="P98" s="1" t="s">
        <v>53</v>
      </c>
      <c r="Q98" s="1" t="s">
        <v>54</v>
      </c>
      <c r="R98" s="1" t="s">
        <v>1070</v>
      </c>
      <c r="S98" s="1" t="s">
        <v>427</v>
      </c>
      <c r="T98" s="1" t="s">
        <v>57</v>
      </c>
      <c r="W98" s="1" t="s">
        <v>1071</v>
      </c>
    </row>
    <row r="99" ht="15.75" customHeight="1">
      <c r="A99" s="1" t="s">
        <v>1072</v>
      </c>
      <c r="B99" s="1" t="s">
        <v>403</v>
      </c>
      <c r="C99" s="1" t="s">
        <v>1072</v>
      </c>
      <c r="D99" s="1" t="s">
        <v>1073</v>
      </c>
      <c r="E99" s="1" t="s">
        <v>335</v>
      </c>
      <c r="F99" s="1" t="s">
        <v>44</v>
      </c>
      <c r="G99" s="1" t="s">
        <v>620</v>
      </c>
      <c r="H99" s="1" t="s">
        <v>68</v>
      </c>
      <c r="I99" s="10">
        <v>31820.0</v>
      </c>
      <c r="J99" s="1" t="s">
        <v>1074</v>
      </c>
      <c r="K99" s="1" t="s">
        <v>1075</v>
      </c>
      <c r="L99" s="1" t="s">
        <v>51</v>
      </c>
      <c r="M99" s="1" t="s">
        <v>1076</v>
      </c>
      <c r="N99" s="1" t="s">
        <v>68</v>
      </c>
      <c r="O99" s="1" t="s">
        <v>68</v>
      </c>
      <c r="P99" s="1" t="s">
        <v>53</v>
      </c>
      <c r="Q99" s="1" t="s">
        <v>54</v>
      </c>
      <c r="R99" s="1" t="s">
        <v>1077</v>
      </c>
      <c r="S99" s="1" t="s">
        <v>380</v>
      </c>
      <c r="T99" s="1" t="s">
        <v>57</v>
      </c>
      <c r="W99" s="1" t="s">
        <v>1078</v>
      </c>
    </row>
    <row r="100" ht="15.75" customHeight="1">
      <c r="A100" s="1" t="s">
        <v>1079</v>
      </c>
      <c r="B100" s="1" t="s">
        <v>374</v>
      </c>
      <c r="C100" s="1" t="s">
        <v>1079</v>
      </c>
      <c r="D100" s="1" t="s">
        <v>1080</v>
      </c>
      <c r="E100" s="1" t="s">
        <v>1081</v>
      </c>
      <c r="F100" s="1" t="s">
        <v>1082</v>
      </c>
      <c r="G100" s="1" t="s">
        <v>629</v>
      </c>
      <c r="H100" s="1" t="s">
        <v>68</v>
      </c>
      <c r="I100" s="10">
        <v>25904.0</v>
      </c>
      <c r="J100" s="1" t="s">
        <v>1083</v>
      </c>
      <c r="K100" s="1" t="s">
        <v>1084</v>
      </c>
      <c r="L100" s="1" t="s">
        <v>90</v>
      </c>
      <c r="M100" s="1" t="s">
        <v>1085</v>
      </c>
      <c r="N100" s="1" t="s">
        <v>68</v>
      </c>
      <c r="O100" s="1" t="s">
        <v>68</v>
      </c>
      <c r="P100" s="1" t="s">
        <v>53</v>
      </c>
      <c r="Q100" s="1" t="s">
        <v>54</v>
      </c>
      <c r="R100" s="1" t="s">
        <v>1086</v>
      </c>
      <c r="S100" s="1" t="s">
        <v>145</v>
      </c>
      <c r="T100" s="1" t="s">
        <v>57</v>
      </c>
      <c r="W100" s="1" t="s">
        <v>1087</v>
      </c>
    </row>
    <row r="101" ht="15.75" customHeight="1">
      <c r="A101" s="1" t="s">
        <v>1088</v>
      </c>
      <c r="B101" s="1" t="s">
        <v>395</v>
      </c>
      <c r="C101" s="1" t="s">
        <v>1088</v>
      </c>
      <c r="D101" s="1" t="s">
        <v>1089</v>
      </c>
      <c r="E101" s="1" t="s">
        <v>1090</v>
      </c>
      <c r="F101" s="1" t="s">
        <v>1091</v>
      </c>
      <c r="G101" s="1" t="s">
        <v>46</v>
      </c>
      <c r="H101" s="1" t="s">
        <v>47</v>
      </c>
      <c r="I101" s="10">
        <v>34269.0</v>
      </c>
      <c r="J101" s="1" t="s">
        <v>1092</v>
      </c>
      <c r="K101" s="1" t="s">
        <v>1093</v>
      </c>
      <c r="L101" s="1" t="s">
        <v>51</v>
      </c>
      <c r="M101" s="1" t="s">
        <v>1094</v>
      </c>
      <c r="N101" s="1" t="s">
        <v>47</v>
      </c>
      <c r="O101" s="1" t="s">
        <v>47</v>
      </c>
      <c r="P101" s="1" t="s">
        <v>53</v>
      </c>
      <c r="Q101" s="1" t="s">
        <v>54</v>
      </c>
      <c r="R101" s="1" t="s">
        <v>1095</v>
      </c>
      <c r="S101" s="1" t="s">
        <v>56</v>
      </c>
      <c r="T101" s="1" t="s">
        <v>57</v>
      </c>
      <c r="W101" s="1" t="s">
        <v>1096</v>
      </c>
    </row>
    <row r="102" ht="15.75" customHeight="1">
      <c r="A102" s="1" t="s">
        <v>1097</v>
      </c>
      <c r="B102" s="1" t="s">
        <v>160</v>
      </c>
      <c r="C102" s="1" t="s">
        <v>1097</v>
      </c>
      <c r="D102" s="1" t="s">
        <v>1098</v>
      </c>
      <c r="E102" s="1" t="s">
        <v>1099</v>
      </c>
      <c r="F102" s="1" t="s">
        <v>1100</v>
      </c>
      <c r="G102" s="1" t="s">
        <v>447</v>
      </c>
      <c r="H102" s="1" t="s">
        <v>47</v>
      </c>
      <c r="I102" s="10">
        <v>33029.0</v>
      </c>
      <c r="J102" s="1" t="s">
        <v>1101</v>
      </c>
      <c r="K102" s="1" t="s">
        <v>1102</v>
      </c>
      <c r="L102" s="1" t="s">
        <v>90</v>
      </c>
      <c r="M102" s="1" t="s">
        <v>1103</v>
      </c>
      <c r="N102" s="1" t="s">
        <v>47</v>
      </c>
      <c r="O102" s="1" t="s">
        <v>47</v>
      </c>
      <c r="P102" s="1" t="s">
        <v>53</v>
      </c>
      <c r="Q102" s="1" t="s">
        <v>54</v>
      </c>
      <c r="R102" s="1" t="s">
        <v>1104</v>
      </c>
      <c r="S102" s="1" t="s">
        <v>615</v>
      </c>
      <c r="T102" s="1" t="s">
        <v>57</v>
      </c>
      <c r="W102" s="1" t="s">
        <v>789</v>
      </c>
    </row>
    <row r="103" ht="15.75" customHeight="1">
      <c r="A103" s="1" t="s">
        <v>1105</v>
      </c>
      <c r="B103" s="1" t="s">
        <v>164</v>
      </c>
      <c r="C103" s="1" t="s">
        <v>1105</v>
      </c>
      <c r="D103" s="1" t="s">
        <v>1106</v>
      </c>
      <c r="E103" s="1" t="s">
        <v>1107</v>
      </c>
      <c r="F103" s="1" t="s">
        <v>1108</v>
      </c>
      <c r="G103" s="1" t="s">
        <v>118</v>
      </c>
      <c r="H103" s="1" t="s">
        <v>47</v>
      </c>
      <c r="I103" s="10">
        <v>30581.0</v>
      </c>
      <c r="J103" s="1" t="s">
        <v>1109</v>
      </c>
      <c r="K103" s="1" t="s">
        <v>1110</v>
      </c>
      <c r="L103" s="1" t="s">
        <v>90</v>
      </c>
      <c r="M103" s="1" t="s">
        <v>1111</v>
      </c>
      <c r="N103" s="1" t="s">
        <v>47</v>
      </c>
      <c r="O103" s="1" t="s">
        <v>47</v>
      </c>
      <c r="P103" s="1" t="s">
        <v>53</v>
      </c>
      <c r="Q103" s="1" t="s">
        <v>54</v>
      </c>
      <c r="R103" s="1" t="s">
        <v>1112</v>
      </c>
      <c r="S103" s="1" t="s">
        <v>471</v>
      </c>
      <c r="T103" s="1" t="s">
        <v>57</v>
      </c>
      <c r="W103" s="1" t="s">
        <v>1113</v>
      </c>
    </row>
    <row r="104" ht="15.75" customHeight="1">
      <c r="A104" s="1" t="s">
        <v>1114</v>
      </c>
      <c r="B104" s="1" t="s">
        <v>59</v>
      </c>
      <c r="C104" s="1" t="s">
        <v>1114</v>
      </c>
      <c r="D104" s="1" t="s">
        <v>1115</v>
      </c>
      <c r="E104" s="1" t="s">
        <v>1116</v>
      </c>
      <c r="F104" s="1" t="s">
        <v>1117</v>
      </c>
      <c r="G104" s="1" t="s">
        <v>67</v>
      </c>
      <c r="H104" s="1" t="s">
        <v>47</v>
      </c>
      <c r="I104" s="10">
        <v>22964.0</v>
      </c>
      <c r="J104" s="1" t="s">
        <v>1118</v>
      </c>
      <c r="K104" s="1" t="s">
        <v>1119</v>
      </c>
      <c r="L104" s="1" t="s">
        <v>90</v>
      </c>
      <c r="M104" s="1" t="s">
        <v>1120</v>
      </c>
      <c r="N104" s="1" t="s">
        <v>47</v>
      </c>
      <c r="O104" s="1" t="s">
        <v>47</v>
      </c>
      <c r="P104" s="1" t="s">
        <v>53</v>
      </c>
      <c r="Q104" s="1" t="s">
        <v>54</v>
      </c>
      <c r="R104" s="1" t="s">
        <v>1121</v>
      </c>
      <c r="S104" s="1" t="s">
        <v>76</v>
      </c>
      <c r="T104" s="1" t="s">
        <v>57</v>
      </c>
    </row>
    <row r="105" ht="15.75" customHeight="1">
      <c r="A105" s="1" t="s">
        <v>1122</v>
      </c>
      <c r="B105" s="1" t="s">
        <v>83</v>
      </c>
      <c r="C105" s="1" t="s">
        <v>1122</v>
      </c>
      <c r="D105" s="1" t="s">
        <v>1123</v>
      </c>
      <c r="E105" s="1" t="s">
        <v>1124</v>
      </c>
      <c r="F105" s="1" t="s">
        <v>1125</v>
      </c>
      <c r="G105" s="1" t="s">
        <v>67</v>
      </c>
      <c r="H105" s="1" t="s">
        <v>47</v>
      </c>
      <c r="I105" s="10">
        <v>29837.0</v>
      </c>
      <c r="J105" s="1" t="s">
        <v>1126</v>
      </c>
      <c r="K105" s="1" t="s">
        <v>1127</v>
      </c>
      <c r="L105" s="1" t="s">
        <v>90</v>
      </c>
      <c r="M105" s="1" t="s">
        <v>1128</v>
      </c>
      <c r="N105" s="1" t="s">
        <v>47</v>
      </c>
      <c r="O105" s="1" t="s">
        <v>47</v>
      </c>
      <c r="P105" s="1" t="s">
        <v>53</v>
      </c>
      <c r="Q105" s="1" t="s">
        <v>54</v>
      </c>
      <c r="R105" s="1" t="s">
        <v>1129</v>
      </c>
      <c r="S105" s="1" t="s">
        <v>615</v>
      </c>
      <c r="T105" s="1" t="s">
        <v>57</v>
      </c>
      <c r="W105" s="1" t="s">
        <v>1131</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2026-08-31T16:32:10Z</dcterms:created>
  <dc:creator>openpyxl</dc:creator>
</cp:coreProperties>
</file>